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ra-my.sharepoint.com/personal/a913406_yara_com/Documents/Desktop/SLH_PORTAL/static/"/>
    </mc:Choice>
  </mc:AlternateContent>
  <xr:revisionPtr revIDLastSave="58" documentId="13_ncr:1_{88992344-E676-405D-9FB4-75C2B8946A82}" xr6:coauthVersionLast="47" xr6:coauthVersionMax="47" xr10:uidLastSave="{5C7F635F-A509-4A39-933D-1315B3103A6E}"/>
  <bookViews>
    <workbookView xWindow="-120" yWindow="-120" windowWidth="29040" windowHeight="15720" activeTab="1" xr2:uid="{00000000-000D-0000-FFFF-FFFF00000000}"/>
  </bookViews>
  <sheets>
    <sheet name="ExportarAExcel" sheetId="1" r:id="rId1"/>
    <sheet name="Propietarios" sheetId="2" r:id="rId2"/>
  </sheets>
  <definedNames>
    <definedName name="_xlnm._FilterDatabase" localSheetId="0" hidden="1">ExportarAExcel!$E$4:$E$209</definedName>
    <definedName name="_xlnm._FilterDatabase" localSheetId="1" hidden="1">Propietarios!$C$1:$C$33</definedName>
    <definedName name="ExportarAExcel">ExportarAExcel!$A$4:$E$207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G6" i="2"/>
  <c r="E33" i="2"/>
</calcChain>
</file>

<file path=xl/sharedStrings.xml><?xml version="1.0" encoding="utf-8"?>
<sst xmlns="http://schemas.openxmlformats.org/spreadsheetml/2006/main" count="727" uniqueCount="499">
  <si>
    <t>Cliente</t>
  </si>
  <si>
    <t>Identificacion</t>
  </si>
  <si>
    <t>Telefono</t>
  </si>
  <si>
    <t>Valor Total</t>
  </si>
  <si>
    <t>CONJUNTO RESIDENCIAL FIORENTTI</t>
  </si>
  <si>
    <t>CONSTRUCCIONES MARVAL S.A.S</t>
  </si>
  <si>
    <t>NIT 890211777</t>
  </si>
  <si>
    <t>CENTO CALLE LA</t>
  </si>
  <si>
    <t>T1 103 JOSE ESTEBAN VILLAROYA</t>
  </si>
  <si>
    <t>CC 103</t>
  </si>
  <si>
    <t>T1-1001</t>
  </si>
  <si>
    <t>CC 11001</t>
  </si>
  <si>
    <t>FIORENTTI</t>
  </si>
  <si>
    <t>T1-1005 JAIRO ALMANZA</t>
  </si>
  <si>
    <t>T1-1006  BANCO BBVA /ANA LUCIA JULIO</t>
  </si>
  <si>
    <t>T1-102 OSCAR RANGEL</t>
  </si>
  <si>
    <t>CC 45525777</t>
  </si>
  <si>
    <t>T1-104 HUMBERTO DORIA GUERRA</t>
  </si>
  <si>
    <t>CC 10891733</t>
  </si>
  <si>
    <t>T1-105 DAVIVIENDA / RUBEN DARIO PEREZ</t>
  </si>
  <si>
    <t>CC 1105</t>
  </si>
  <si>
    <t>6666666</t>
  </si>
  <si>
    <t>T1-1103 RAFAEL GREGORIO RODRIGUEZ VILLADIEGO</t>
  </si>
  <si>
    <t>CC T1-1103</t>
  </si>
  <si>
    <t>T1-1104 BELIA ROSA LOPEZ SALCEDO</t>
  </si>
  <si>
    <t>CC 1047456997</t>
  </si>
  <si>
    <t>CONJUNTO FIORETTI</t>
  </si>
  <si>
    <t>T1-1106 GERLIS FARID MUÑOZ BOLAÑO</t>
  </si>
  <si>
    <t>CC 1001898428</t>
  </si>
  <si>
    <t>CONJUNTO FIORENTTI</t>
  </si>
  <si>
    <t>T1-201 KAREN DURANT</t>
  </si>
  <si>
    <t>CC T1-201</t>
  </si>
  <si>
    <t>T1-202 HUGO MERCADO</t>
  </si>
  <si>
    <t>CC T1-202</t>
  </si>
  <si>
    <t>T1-203 EDGARDO MONTERROSA PUELLO</t>
  </si>
  <si>
    <t>CC T1-203</t>
  </si>
  <si>
    <t>T1-204 GINOTH RUIZ ESCORCIA</t>
  </si>
  <si>
    <t>CC T1-204</t>
  </si>
  <si>
    <t>T1-206 MIGUEL DE AVILA</t>
  </si>
  <si>
    <t>CC T1-206</t>
  </si>
  <si>
    <t>T1-302 ENOVAL HERRERA</t>
  </si>
  <si>
    <t>CC T1-302</t>
  </si>
  <si>
    <t>T1-304 AMPARO RANGEL PEREZ</t>
  </si>
  <si>
    <t>CC T1-304</t>
  </si>
  <si>
    <t>T1-305 YAMIL RIPOLL</t>
  </si>
  <si>
    <t>CC T1-305</t>
  </si>
  <si>
    <t>T1-306 WILMAN JOSE VILLALBA CASTILLO</t>
  </si>
  <si>
    <t>CC 7930469</t>
  </si>
  <si>
    <t>T1-401 NURIS GULFO MARRUGO</t>
  </si>
  <si>
    <t>CC 33138300</t>
  </si>
  <si>
    <t>T1-402 ALEJANDRO BARRIOS MAZA / LUDY ARACELY TARAZONA CARRILLO</t>
  </si>
  <si>
    <t>CC 73096665</t>
  </si>
  <si>
    <t>T1-403 EDWIN ENRIQUE POLO BARRANCO</t>
  </si>
  <si>
    <t>CC T1-403</t>
  </si>
  <si>
    <t>T1-404 JHON GONZALEZ</t>
  </si>
  <si>
    <t>CC 94269654</t>
  </si>
  <si>
    <t>T1-405 MORAIMA POMBO FANG</t>
  </si>
  <si>
    <t>T1-406 JUAN CARLOS LOPEZ AVILA</t>
  </si>
  <si>
    <t>CC 88280277</t>
  </si>
  <si>
    <t>T1-502 PIEDAD VASQUEZ PAJARO</t>
  </si>
  <si>
    <t>CC 45472828</t>
  </si>
  <si>
    <t>3225116139</t>
  </si>
  <si>
    <t>T1-506 TOMAS ESTRADA</t>
  </si>
  <si>
    <t>CC 506</t>
  </si>
  <si>
    <t>T1-601 JADER PERALTA MARTINEZ</t>
  </si>
  <si>
    <t>CC 601</t>
  </si>
  <si>
    <t>T1-602 ANTONIO NEIRA MEZA</t>
  </si>
  <si>
    <t>CC 73116593</t>
  </si>
  <si>
    <t>T1-701 VICTOR DANIEL ORTEGA REINALES</t>
  </si>
  <si>
    <t>CC 701</t>
  </si>
  <si>
    <t>T1-703 RAMON MENDOZA HERRERA</t>
  </si>
  <si>
    <t>CC 73185920</t>
  </si>
  <si>
    <t>T1-706 EMIRO SERRANA</t>
  </si>
  <si>
    <t>CC T1-706</t>
  </si>
  <si>
    <t>T1-803 EDUARDO OSORIO DE LA HOZ</t>
  </si>
  <si>
    <t>CC T1-803</t>
  </si>
  <si>
    <t>T1-804 BANCO BBVA / AMELIA AMERICA GONZALEZ RODRIGUEZ</t>
  </si>
  <si>
    <t>CC 45451361</t>
  </si>
  <si>
    <t>T1-806 NUBIS LORA DEULUFEUT</t>
  </si>
  <si>
    <t>CC 33338041</t>
  </si>
  <si>
    <t>CONJUNTORESIDENCIAL FIORENTTI</t>
  </si>
  <si>
    <t>3178257574</t>
  </si>
  <si>
    <t>T1-905 ELKIN PEDRAZA REY</t>
  </si>
  <si>
    <t>CC 905</t>
  </si>
  <si>
    <t>3147521590</t>
  </si>
  <si>
    <t>T1-906 LUIS MARCOS CASTELLANOS GONZALEZ</t>
  </si>
  <si>
    <t>CC 292426</t>
  </si>
  <si>
    <t>APTO 906</t>
  </si>
  <si>
    <t>T2-1008 YICEL ELENA MARTINEZ PACHECO</t>
  </si>
  <si>
    <t>CC 1143362201</t>
  </si>
  <si>
    <t>T2-1010</t>
  </si>
  <si>
    <t>CC 1010</t>
  </si>
  <si>
    <t>T2-1011 AYDEE SANDOVAL ALOMIA</t>
  </si>
  <si>
    <t>CC 1111779978</t>
  </si>
  <si>
    <t>3244477622</t>
  </si>
  <si>
    <t>T2-1012 VERONICA BOLLE</t>
  </si>
  <si>
    <t>CC 52898988</t>
  </si>
  <si>
    <t>3166239946</t>
  </si>
  <si>
    <t>T2-107 CARMEN HERAZO DE SOLANO</t>
  </si>
  <si>
    <t>CC 33132897</t>
  </si>
  <si>
    <t>3166206312</t>
  </si>
  <si>
    <t>T2-108 EFRAIN ALBERTO MORALES MONTERROZA</t>
  </si>
  <si>
    <t>CC 108</t>
  </si>
  <si>
    <t>T2-109 MILENA HERRERA SOLANO</t>
  </si>
  <si>
    <t>CC T2-109</t>
  </si>
  <si>
    <t>T2-110 DORIS BOSSIO</t>
  </si>
  <si>
    <t>CC T2-110</t>
  </si>
  <si>
    <t>T2-1108 JIMY ANTONIO ROMERO CASTILLO</t>
  </si>
  <si>
    <t>CC 73128704</t>
  </si>
  <si>
    <t>3054398146</t>
  </si>
  <si>
    <t>T2-1110 KAREN ROMERO</t>
  </si>
  <si>
    <t>CC 1143347810</t>
  </si>
  <si>
    <t>T2-1111 EDISON ALBERTO CAMARGO MUÑOZ</t>
  </si>
  <si>
    <t>CC 9091698</t>
  </si>
  <si>
    <t>T2-1112 LAURA PATRICIA QUIÑONES SANTODOMINGO</t>
  </si>
  <si>
    <t>CC 49667328</t>
  </si>
  <si>
    <t>T2-112 LAURA GOMEZ</t>
  </si>
  <si>
    <t>CC T2-112</t>
  </si>
  <si>
    <t>T2-207 ANA ORTEGA DIAZ</t>
  </si>
  <si>
    <t>CC T2-207</t>
  </si>
  <si>
    <t>T2-208 DAVIVIENDA SA</t>
  </si>
  <si>
    <t>CC 208</t>
  </si>
  <si>
    <t>T2-210 KELVIN DAVID MARTINEZ BLANCO</t>
  </si>
  <si>
    <t>CC 1047367431</t>
  </si>
  <si>
    <t>T2-211 LUCY JOSEFINA ALVAREZ ROSA</t>
  </si>
  <si>
    <t>CC 26021499</t>
  </si>
  <si>
    <t>T2-212 BANCO BBVA / IRINA MARGARITA RINCON RODRIGUEZ</t>
  </si>
  <si>
    <t>CC 1047426356</t>
  </si>
  <si>
    <t>T2-308 CARLOS AUGUSTO GUARDIOLA GUARDO</t>
  </si>
  <si>
    <t>CC 9157400</t>
  </si>
  <si>
    <t>T2-309 CARLOS MAZZONE PRIORE</t>
  </si>
  <si>
    <t>Documento de identificación extranjero 479558</t>
  </si>
  <si>
    <t>T2-310 ALBERTO LUIS SAENZ MONTES</t>
  </si>
  <si>
    <t>CC 1047377793</t>
  </si>
  <si>
    <t>T2-311 ELPIDIO ROBLEDO</t>
  </si>
  <si>
    <t>CC 311</t>
  </si>
  <si>
    <t>T2-312 JORGE LUIS ARIAS GALVIS</t>
  </si>
  <si>
    <t>CC 2312</t>
  </si>
  <si>
    <t>T2-407 HENRY ARROYO CAICEDO</t>
  </si>
  <si>
    <t>CC 12907237</t>
  </si>
  <si>
    <t>T2-408 JOSE FIGUEROA RAMIREZ</t>
  </si>
  <si>
    <t>CC 2408</t>
  </si>
  <si>
    <t>T2-409 CONSTRUCTORA MARVAL</t>
  </si>
  <si>
    <t>CC 409</t>
  </si>
  <si>
    <t>T2-410 JAVIER ENRIQUE AYOLA AYOLA</t>
  </si>
  <si>
    <t>CC T2-410</t>
  </si>
  <si>
    <t>T2-411 YULYS CAROLINA REDONDO MEZA</t>
  </si>
  <si>
    <t>CC 1128055764</t>
  </si>
  <si>
    <t>T2-412 LUIS ESTRADA</t>
  </si>
  <si>
    <t>CC 412</t>
  </si>
  <si>
    <t>T2-507 JORGE IGNACIO BABILONIA IBARRA</t>
  </si>
  <si>
    <t>CC 18920891</t>
  </si>
  <si>
    <t>3104481578</t>
  </si>
  <si>
    <t>T2-508 IVAN INFANTE</t>
  </si>
  <si>
    <t>T2-509 EDGAR RANGEL</t>
  </si>
  <si>
    <t>CC 2509</t>
  </si>
  <si>
    <t>T2-510 SALIS SOFIA SAENZ PEREZ</t>
  </si>
  <si>
    <t>CC 45528463</t>
  </si>
  <si>
    <t>CARTAGENA</t>
  </si>
  <si>
    <t>T2-511 LUIS MIGUEL TORRES TORRES</t>
  </si>
  <si>
    <t>CC 9114536</t>
  </si>
  <si>
    <t>T2-607 LISSETH ROMERO GONZALEZ</t>
  </si>
  <si>
    <t>CC 1128055186</t>
  </si>
  <si>
    <t>3003313575</t>
  </si>
  <si>
    <t>T2-609 HUGO SALAZAR GONZALES</t>
  </si>
  <si>
    <t>CC 609</t>
  </si>
  <si>
    <t>T2-611 ARLES ENRIQUE VALDEMAR GARCIA</t>
  </si>
  <si>
    <t>CC T2-611</t>
  </si>
  <si>
    <t>T2-612 APOLINAR ANTONIO ORTEGA DIAS</t>
  </si>
  <si>
    <t>CC T2-612</t>
  </si>
  <si>
    <t>3183621395</t>
  </si>
  <si>
    <t>T2-707 KATIA PAJARO MUÑETON</t>
  </si>
  <si>
    <t>T2-708</t>
  </si>
  <si>
    <t>T2-709 BRAULIO EMILIO MORALES MARIN</t>
  </si>
  <si>
    <t>CC T2-709</t>
  </si>
  <si>
    <t>T2-710 JAVIER E. AYOLA</t>
  </si>
  <si>
    <t>T2-711 OMAR GOMEZ</t>
  </si>
  <si>
    <t>CC T2-711</t>
  </si>
  <si>
    <t>T2-712 LEANDRO JAIR HERRERA BALLESTAS</t>
  </si>
  <si>
    <t>CC 72354491</t>
  </si>
  <si>
    <t>T2-807 CARLOS MARIO PUELLO CHOPERANA</t>
  </si>
  <si>
    <t>CC 73211784</t>
  </si>
  <si>
    <t>T2-808 NANCY ADRIANA HOWARD GARZON</t>
  </si>
  <si>
    <t>CC 35502992</t>
  </si>
  <si>
    <t>T2-809 JORGE IVAN CORZO</t>
  </si>
  <si>
    <t>CC 1098664685</t>
  </si>
  <si>
    <t>CONJUTNO RESIDENCIAL FIORENTTI</t>
  </si>
  <si>
    <t>T2-811 ARNALDO IRIARTE CANOLES</t>
  </si>
  <si>
    <t>CC 1143339323</t>
  </si>
  <si>
    <t>T2-907 DAVID HEREDIA</t>
  </si>
  <si>
    <t>CC T2-907</t>
  </si>
  <si>
    <t>T2-908</t>
  </si>
  <si>
    <t>CC 908</t>
  </si>
  <si>
    <t>BRR EL RECREO</t>
  </si>
  <si>
    <t>T2-910 LIFETH ALVAREZ CAMACHO</t>
  </si>
  <si>
    <t>CC 1047410852</t>
  </si>
  <si>
    <t>3013865329</t>
  </si>
  <si>
    <t>T2-911 GONZALO RAMIREZ</t>
  </si>
  <si>
    <t>CC 0</t>
  </si>
  <si>
    <t>T2-912 ADRIANA PEDRAZA</t>
  </si>
  <si>
    <t>CC T2-912</t>
  </si>
  <si>
    <t>T3-1013 GERMAN HERRERA VIDAL</t>
  </si>
  <si>
    <t>CC 9239539</t>
  </si>
  <si>
    <t>T3-1014 IRIS DEL CARMEN TOUS DIAZ</t>
  </si>
  <si>
    <t>CC 33104540</t>
  </si>
  <si>
    <t>T3-1017 ADRIANA AMINTA NOVOA RANGEL</t>
  </si>
  <si>
    <t>CC 4257</t>
  </si>
  <si>
    <t>300 8877306</t>
  </si>
  <si>
    <t>T3-1018 EDWIN MALDOL ROMERO</t>
  </si>
  <si>
    <t>CC 73122903</t>
  </si>
  <si>
    <t>T3-1113 BANCO BBVA / LUZ MARINA PEREZ</t>
  </si>
  <si>
    <t>CC 31113</t>
  </si>
  <si>
    <t>T3-1115 MELISSA MARTINEZ LOPEZ</t>
  </si>
  <si>
    <t>CC 1143338043</t>
  </si>
  <si>
    <t>T3-1116</t>
  </si>
  <si>
    <t>CC 31116</t>
  </si>
  <si>
    <t>T3-1117 MEISSER VIDAL MADERA ANAYA</t>
  </si>
  <si>
    <t>CC 1143325884</t>
  </si>
  <si>
    <t>T3-113 LEONARDO EMIRO CONTRERAS BRAVO</t>
  </si>
  <si>
    <t>CC 92530374</t>
  </si>
  <si>
    <t>T3-114 OSVALDO RAFAEL ORTEGA VASQUEZ</t>
  </si>
  <si>
    <t>CC 9173361</t>
  </si>
  <si>
    <t>T3-116 MAURICIO GABRIEL GARCIA COHEN</t>
  </si>
  <si>
    <t>CC 73169496</t>
  </si>
  <si>
    <t>T3-117 KATIUSKA DALISE MARTINEZ AGAMEZ</t>
  </si>
  <si>
    <t>CC 32.938.056</t>
  </si>
  <si>
    <t>T3-118 DAVID ANTONIO RINCON BETTER</t>
  </si>
  <si>
    <t>CC 73138335</t>
  </si>
  <si>
    <t>T3-214 SARA CRISTINA LAGUNA GALLO</t>
  </si>
  <si>
    <t>T3-215 EMILIANA DEL CARMEN MEDINA SOLANO</t>
  </si>
  <si>
    <t>CC 45762002</t>
  </si>
  <si>
    <t>T3-216 BANCO DAVIVIENDA SA</t>
  </si>
  <si>
    <t>T3-217 CARLOS PINZON LLORACH</t>
  </si>
  <si>
    <t>3164163657</t>
  </si>
  <si>
    <t>T3-218 JEAN ALFONSO BELTRAN AGUILAR</t>
  </si>
  <si>
    <t>CC 9146257</t>
  </si>
  <si>
    <t>CONJUNTO FIORENTI</t>
  </si>
  <si>
    <t>T3-315 ROSA LUISA CABARCAS TAPIA</t>
  </si>
  <si>
    <t>CC 33.153.836</t>
  </si>
  <si>
    <t>T3-317 ALCIDES RAFAEL SANCHEZ CARO</t>
  </si>
  <si>
    <t>CC 73231346</t>
  </si>
  <si>
    <t>T3-318 AMELCY ANTONIA ELLES VASQUEZ</t>
  </si>
  <si>
    <t>CC 45433895</t>
  </si>
  <si>
    <t>CC 1144134567</t>
  </si>
  <si>
    <t>T3-414 BETZABE LLORENTE MELENDEZ</t>
  </si>
  <si>
    <t>CC 22818703</t>
  </si>
  <si>
    <t>T3-416 ALEXANDER RUIZ PEREZ</t>
  </si>
  <si>
    <t>CC 73184630</t>
  </si>
  <si>
    <t>T3-418 JOSE  DAVID REYES TORRES</t>
  </si>
  <si>
    <t>CC 03-418</t>
  </si>
  <si>
    <t>T3-513 LUZ KARIME PALOMINO GOMEZ</t>
  </si>
  <si>
    <t>CC 513</t>
  </si>
  <si>
    <t>T3-515 DAVIVIENDA / MANUEL DE JESUS GARCIA SERRANO</t>
  </si>
  <si>
    <t>CC 73227061</t>
  </si>
  <si>
    <t>T3-517 DIEGO FERNANDO MONTEALEGRE FRANCO</t>
  </si>
  <si>
    <t>CC 16232536</t>
  </si>
  <si>
    <t>T3-518 DAVID ENRIQUE MARTINEZ RODRIGUEZ</t>
  </si>
  <si>
    <t>CC 73205379</t>
  </si>
  <si>
    <t>T3-613 ROBERTO POLO CAMERO</t>
  </si>
  <si>
    <t>CC 73138935</t>
  </si>
  <si>
    <t>T3-615 GINA PAOLA GONZALES RECUERO</t>
  </si>
  <si>
    <t>CC 1143329593</t>
  </si>
  <si>
    <t>T3-713 VERONICA DEL CARMEN BERRIOS TORRES</t>
  </si>
  <si>
    <t>CC T3-713</t>
  </si>
  <si>
    <t>T3-714 BANCO DAVIVIENDA / KATIA VELASCO</t>
  </si>
  <si>
    <t>T3-715 CLAUDIA VERGARA MACEA</t>
  </si>
  <si>
    <t>CC 715</t>
  </si>
  <si>
    <t>T3-716 WILBERTO FONSECA ARBELAEZ</t>
  </si>
  <si>
    <t>CC 8568955</t>
  </si>
  <si>
    <t>T3-717 RAFAEL CASSIANI MIRANDA</t>
  </si>
  <si>
    <t>CC 7917471</t>
  </si>
  <si>
    <t>T3-718 ROSANA MARIA RICARDO MONTES</t>
  </si>
  <si>
    <t>CC 45581759</t>
  </si>
  <si>
    <t>T3-813 YESUS SEGUNDO CABRERA RAMIREZ</t>
  </si>
  <si>
    <t>T3-814 VALENTINA MONTES RUIZ</t>
  </si>
  <si>
    <t>CC 1007170895</t>
  </si>
  <si>
    <t>T3-817 FANNY DEL CARMEN SIERRA MADRID</t>
  </si>
  <si>
    <t>CC 50952617</t>
  </si>
  <si>
    <t>T3-818 MARY VIVAS QUIÑONES</t>
  </si>
  <si>
    <t>CC 31372558</t>
  </si>
  <si>
    <t>T3-913 SADY DAVID ROA VALDELAMAR</t>
  </si>
  <si>
    <t>sady.r1a@hotmail.com</t>
  </si>
  <si>
    <t>T3-916 ELIZABETH RENGIFO GUERRERO</t>
  </si>
  <si>
    <t>CC 52110145</t>
  </si>
  <si>
    <t>T3-917 GLORIA MARIA MEZA GARCIA</t>
  </si>
  <si>
    <t>CC 1143410290</t>
  </si>
  <si>
    <t>T3-918 CRISTINA SOFIA ORJUELA URREGO</t>
  </si>
  <si>
    <t>CC 45562405</t>
  </si>
  <si>
    <t>T4-1021 RODRIGO ALBERTO CHICA PEÑALOZA</t>
  </si>
  <si>
    <t>CC 1021</t>
  </si>
  <si>
    <t>T4-1022 JORGE LEONARDO ESTRADA</t>
  </si>
  <si>
    <t>CC 1043001915</t>
  </si>
  <si>
    <t>T4-1023 BANCO BBVA SA</t>
  </si>
  <si>
    <t>CC 45474706</t>
  </si>
  <si>
    <t>T4-1024 ZENITH DEL CARMEN PEREZ MARTINEZ</t>
  </si>
  <si>
    <t>CC 1024</t>
  </si>
  <si>
    <t>T4-1119 - JENIFER AMELIA PINTO BARRETO</t>
  </si>
  <si>
    <t>CC 1002241426</t>
  </si>
  <si>
    <t>T4-1120 FRANCISCO JAVIER PACHECO</t>
  </si>
  <si>
    <t>CC 1143344043</t>
  </si>
  <si>
    <t>3135346730</t>
  </si>
  <si>
    <t>T4-1121 GISELLE SANJUAN ARIZA - FREDDY PERTUZ PRIETO</t>
  </si>
  <si>
    <t>CC 1121</t>
  </si>
  <si>
    <t>T4-1123 KAROL BIBIANA LEON PEREZ</t>
  </si>
  <si>
    <t>CC 1123</t>
  </si>
  <si>
    <t>T4-1124 LEWIS ALFONSO BLANCO MUÑOZ</t>
  </si>
  <si>
    <t>CC 1124</t>
  </si>
  <si>
    <t>T4-1125 JUAN CAMILO GOMEZ MAZO</t>
  </si>
  <si>
    <t>CC 1051826015</t>
  </si>
  <si>
    <t>T4-1126 EMER ANDRES TABORDA</t>
  </si>
  <si>
    <t>CC 1044501357</t>
  </si>
  <si>
    <t>3165194510</t>
  </si>
  <si>
    <t>T4-119 URSULA RODRIGUEZ CARABALLO</t>
  </si>
  <si>
    <t>CC 22799303</t>
  </si>
  <si>
    <t>T4-120 JESUS MANUEL FIGUEROA ALZATE</t>
  </si>
  <si>
    <t>CC 1143367499</t>
  </si>
  <si>
    <t>3045917101</t>
  </si>
  <si>
    <t>T4-121 JOSE DE JESUS ESTRADA DURAN</t>
  </si>
  <si>
    <t>CC 91519543</t>
  </si>
  <si>
    <t>3006317058</t>
  </si>
  <si>
    <t>T4-122 ISIS TATIANA CASTILLA TARRA</t>
  </si>
  <si>
    <t>CC 30881788</t>
  </si>
  <si>
    <t>isiscastillatarra@gmail.com</t>
  </si>
  <si>
    <t>T4-123 ANA MILENA VALDEZ TIJERINO</t>
  </si>
  <si>
    <t>CC 1235040358</t>
  </si>
  <si>
    <t>3184024265</t>
  </si>
  <si>
    <t>T4-124 ORLANDO PERIÑAN FLOREZ</t>
  </si>
  <si>
    <t>CC 73158457</t>
  </si>
  <si>
    <t>T4-126 DALILA ESTELA FUENTES TORRES</t>
  </si>
  <si>
    <t>CC 126</t>
  </si>
  <si>
    <t>T4-222 AYSHANE LORDUY VECCHIO</t>
  </si>
  <si>
    <t>CC 1050719200</t>
  </si>
  <si>
    <t>3126315123</t>
  </si>
  <si>
    <t>T4-223 NOHORA DEL CARMEN ROCHA PATERNINA</t>
  </si>
  <si>
    <t>CC 45422998</t>
  </si>
  <si>
    <t>cartagena</t>
  </si>
  <si>
    <t>T4-225 JULIO CESAR GUERRA</t>
  </si>
  <si>
    <t>CC 225</t>
  </si>
  <si>
    <t>T4-319 VIVIANA FLOREZ VERGARA</t>
  </si>
  <si>
    <t>CC 319</t>
  </si>
  <si>
    <t>T4-320 BANCO DAVIVIENDA / MARIA LUISA LAGUNA GALLO</t>
  </si>
  <si>
    <t>CC 1128047732</t>
  </si>
  <si>
    <t>T4-321 MILADYS MARIA GOMEZ PEREZ</t>
  </si>
  <si>
    <t>CC 64543269</t>
  </si>
  <si>
    <t>3114292313</t>
  </si>
  <si>
    <t>T4-322 LINA ROSA SAAVEDRA OROZCO</t>
  </si>
  <si>
    <t>CC 322</t>
  </si>
  <si>
    <t>3014808900</t>
  </si>
  <si>
    <t>T4-323 VICTOR ANTONIO MOLANO MARQUEZ</t>
  </si>
  <si>
    <t>CC 1140815206</t>
  </si>
  <si>
    <t>T4-325 LEONARDO ALFONSO CAMACHO ARRIETA</t>
  </si>
  <si>
    <t>CC 325</t>
  </si>
  <si>
    <t>0</t>
  </si>
  <si>
    <t>3234823545</t>
  </si>
  <si>
    <t>T4-419 JHONEYLIS BLANCO</t>
  </si>
  <si>
    <t>CC 419</t>
  </si>
  <si>
    <t>419</t>
  </si>
  <si>
    <t>T4-420 ROSE MARIE CRESPO SANCHEZ</t>
  </si>
  <si>
    <t>+1 7864704377</t>
  </si>
  <si>
    <t>T4-421 LIBIS DIANETH CABRERA MARTINEZ</t>
  </si>
  <si>
    <t>CC 421</t>
  </si>
  <si>
    <t>T4-422 ESTEFANY RAMOS IBAÑEZ</t>
  </si>
  <si>
    <t>CC 422</t>
  </si>
  <si>
    <t>T4-424 ROXANA PAOLA ALACA POSSO</t>
  </si>
  <si>
    <t>CC 1047393668</t>
  </si>
  <si>
    <t>T4-425</t>
  </si>
  <si>
    <t>T4-520 IVAN ENRIQUE ESCORCIA PALMA</t>
  </si>
  <si>
    <t>CC 8567281</t>
  </si>
  <si>
    <t>T4-522 JUAN RODRIGUEZ</t>
  </si>
  <si>
    <t>CC 522</t>
  </si>
  <si>
    <t>CONJUNTO RESIDELCIAL FIORENTTI</t>
  </si>
  <si>
    <t>T4-524 ROSMERY BARRIOS GOMEZ</t>
  </si>
  <si>
    <t>CC 32909687</t>
  </si>
  <si>
    <t>T4-525 SANDRA OROZCO PAYAREZ</t>
  </si>
  <si>
    <t>T4-526 DALIA MARGARITA HERNANDEZ ALCALA</t>
  </si>
  <si>
    <t>CC 45692501</t>
  </si>
  <si>
    <t>T4-619 GINA CONSUEGRA DEL REAL</t>
  </si>
  <si>
    <t>CC 1128060075</t>
  </si>
  <si>
    <t>3016859610</t>
  </si>
  <si>
    <t>T4-621 ANDRES DAVID MARRUGO GUERRERO</t>
  </si>
  <si>
    <t>T4-622 ROSNEYLLYS MARTINEZ</t>
  </si>
  <si>
    <t>T4-624 JHON CARLOS BLANCO JULIO</t>
  </si>
  <si>
    <t>CC 624</t>
  </si>
  <si>
    <t>T4-625 ELIZABETH NIETO HERRERA</t>
  </si>
  <si>
    <t>CC 625</t>
  </si>
  <si>
    <t>T4-720 ELKIN AHUMADA MARTINEZ</t>
  </si>
  <si>
    <t>CC 720</t>
  </si>
  <si>
    <t>T4-721 PAOLA PATRICIA VILLALBA BORJA</t>
  </si>
  <si>
    <t>CC 45593506</t>
  </si>
  <si>
    <t>3012943417</t>
  </si>
  <si>
    <t>T4-724 HENRY WINSTON GUTIERREZ ARIAS</t>
  </si>
  <si>
    <t>CC 9314390</t>
  </si>
  <si>
    <t>T4-726 ADRIANO ANTONIO GOMEZ SEÑA</t>
  </si>
  <si>
    <t>CC 726</t>
  </si>
  <si>
    <t>T4-822 CARMEN ISABEL MENA GONZALEZ</t>
  </si>
  <si>
    <t>CC 45433692</t>
  </si>
  <si>
    <t>3007214375</t>
  </si>
  <si>
    <t>T4-824 JAIME HUELGAS NARVAEZ</t>
  </si>
  <si>
    <t>CC 1047396972</t>
  </si>
  <si>
    <t>T4-825 KAREN ESTARITA</t>
  </si>
  <si>
    <t>CC 825</t>
  </si>
  <si>
    <t>T4-826 MARIA JOSE VASQUEZ PAREDES</t>
  </si>
  <si>
    <t>CC 826</t>
  </si>
  <si>
    <t>T4-919 INGRID YOJANA JIMENEZ PADRON</t>
  </si>
  <si>
    <t>CC 919</t>
  </si>
  <si>
    <t>T4-921 HERNANDO HERRERA VIDAL</t>
  </si>
  <si>
    <t>T4-922</t>
  </si>
  <si>
    <t>CC 922</t>
  </si>
  <si>
    <t>T4-923 JAIME ANTONIO PADILLA ALMEYDA</t>
  </si>
  <si>
    <t>CC 72231049</t>
  </si>
  <si>
    <t>T4-924 CLAUDIA CECILIA ALZATE VALENCIA</t>
  </si>
  <si>
    <t>CC 43117770</t>
  </si>
  <si>
    <t>T4-925 FERNANDO MUÑOZ SUAREZ</t>
  </si>
  <si>
    <t>CC 925</t>
  </si>
  <si>
    <t>T4-926</t>
  </si>
  <si>
    <t>CC 926</t>
  </si>
  <si>
    <t xml:space="preserve">Elaborado Bajo Normas Locales </t>
  </si>
  <si>
    <t>Jairo.almanza@hotmail.com</t>
  </si>
  <si>
    <t>correo</t>
  </si>
  <si>
    <t>carolinacittellyj@gmail.com</t>
  </si>
  <si>
    <t>Jorgeleonidas2024@gmail.com</t>
  </si>
  <si>
    <t>CC 9.089.355</t>
  </si>
  <si>
    <t>312 6199273/+52 1 81 1154 7695</t>
  </si>
  <si>
    <t>T1-1003 BANCO DE BOGOTA/ JORGE VEGA</t>
  </si>
  <si>
    <t>315 7558109</t>
  </si>
  <si>
    <t>belia_lopez@icloud.com</t>
  </si>
  <si>
    <t>AECUEVAS@HOTMAIL.COM</t>
  </si>
  <si>
    <t xml:space="preserve"> 300 6270434 /  318 3559106</t>
  </si>
  <si>
    <t>T1-205 BANCO DAVIVIENDA / ARTURO CUEVAS</t>
  </si>
  <si>
    <t>318 8658521 / 310 6959716</t>
  </si>
  <si>
    <t>moracar08@hotmail.com</t>
  </si>
  <si>
    <t>T1-505  MARIBEL POSADA CUARTAS</t>
  </si>
  <si>
    <t>maryposada2@hotmail.com</t>
  </si>
  <si>
    <t xml:space="preserve"> 3045376234</t>
  </si>
  <si>
    <t>301 6328282</t>
  </si>
  <si>
    <t>a.neira@electring.com</t>
  </si>
  <si>
    <t>300 6604200</t>
  </si>
  <si>
    <t>mendozar22@hotmail.com</t>
  </si>
  <si>
    <t>302 4290686 /3002070194</t>
  </si>
  <si>
    <t>amamegor@hotmail.com</t>
  </si>
  <si>
    <t>dianapatriciagalvispinzon@gmail.com</t>
  </si>
  <si>
    <t xml:space="preserve">T1-805 DIANA GALVIS PINZON </t>
  </si>
  <si>
    <t>315 7449899</t>
  </si>
  <si>
    <t>314 7840252</t>
  </si>
  <si>
    <t>T1-901 ANDRES GUTIERREZ LUNA</t>
  </si>
  <si>
    <t>andresgutierrezluna-12@hotmail.com</t>
  </si>
  <si>
    <t>arelisamado@yahoo.es</t>
  </si>
  <si>
    <t>300 8256477</t>
  </si>
  <si>
    <t>T2-209 BANCO DAVIVIENDA SA / ARELIS AMADO</t>
  </si>
  <si>
    <t>311 4040895</t>
  </si>
  <si>
    <t>ivaninfantelozada@gmail.com</t>
  </si>
  <si>
    <t>javieryoanylopezlopez@gmail.com</t>
  </si>
  <si>
    <t>320 5434168</t>
  </si>
  <si>
    <t>Javierenrique25@hotmail.com</t>
  </si>
  <si>
    <t xml:space="preserve">315 796 4748 </t>
  </si>
  <si>
    <t>300 5106983</t>
  </si>
  <si>
    <t>T2-812 BANCO BBVA / KARINA SANTOYA</t>
  </si>
  <si>
    <t>k_santoyacevedo@outlook.com</t>
  </si>
  <si>
    <t>erikaliliana2002@yahoo.com</t>
  </si>
  <si>
    <t>T3-1118 / ERIKA GRANADOS</t>
  </si>
  <si>
    <t>rosagarciacohen@hotmail.com</t>
  </si>
  <si>
    <t>300 4115250 / 313 5157172</t>
  </si>
  <si>
    <t>312 7040608</t>
  </si>
  <si>
    <t>malka_c12@hotmail.com</t>
  </si>
  <si>
    <t>315 5508103</t>
  </si>
  <si>
    <t>Cajepillo@gmail.com</t>
  </si>
  <si>
    <t>300 5107069</t>
  </si>
  <si>
    <t>T3-413 BANCO DAVIVIENDA /ERIKA SANCHEZ</t>
  </si>
  <si>
    <t>311 4072296</t>
  </si>
  <si>
    <t>katia_velasco@yahoo.com</t>
  </si>
  <si>
    <t>310 3505607</t>
  </si>
  <si>
    <t>RAFA.CASS@HOTMAIL.COM</t>
  </si>
  <si>
    <t>No.1.022.364.314</t>
  </si>
  <si>
    <t>yersoncabrera@hotmail.com</t>
  </si>
  <si>
    <t>3205669283</t>
  </si>
  <si>
    <t xml:space="preserve"> 300 789270</t>
  </si>
  <si>
    <t>T4-226 AMERICA LOZANO</t>
  </si>
  <si>
    <t>3015786512 / 310 3620315</t>
  </si>
  <si>
    <t>americal04@hotmail.com</t>
  </si>
  <si>
    <t>rosecrespo89@gmail.com</t>
  </si>
  <si>
    <t>302 3492325</t>
  </si>
  <si>
    <t>3185719905 / 300 4708401</t>
  </si>
  <si>
    <t>ivanescorciap@hotmail.com</t>
  </si>
  <si>
    <t>311 6967240</t>
  </si>
  <si>
    <t>seorozcop@gmail.com</t>
  </si>
  <si>
    <t>300 5074612</t>
  </si>
  <si>
    <t>324 5458577</t>
  </si>
  <si>
    <t>precismgr29@hotmail.com</t>
  </si>
  <si>
    <t>HernandoHV@hotmail.com</t>
  </si>
  <si>
    <t>301 4225705</t>
  </si>
  <si>
    <t xml:space="preserve">Estado de Cuenta 30-60-90 con fecha de corte 20/09/2026 </t>
  </si>
  <si>
    <t>T1-1005 JAIRO JAVIER ALMANZA CORREA</t>
  </si>
  <si>
    <t>T2-508 IVAN INFANTE LOZADA</t>
  </si>
  <si>
    <t>T2-710 JAVIER ENRIQUE AYOLA</t>
  </si>
  <si>
    <t>T2-812 BANCO BBVA / KARINA SANTOYA ACEVEDO</t>
  </si>
  <si>
    <t>T1-1003  JORGE VEGA</t>
  </si>
  <si>
    <t>T1-1006  ANA LUCIA JULIO</t>
  </si>
  <si>
    <t>T1-205  ARTURO CUEVAS</t>
  </si>
  <si>
    <t xml:space="preserve">315796 4748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</si>
</sst>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0"/>
      <color rgb="FF434343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2"/>
      <color rgb="FF434343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164" fontId="1" fillId="0" borderId="1" xfId="0" applyNumberFormat="1" applyFont="1" applyBorder="1"/>
    <xf numFmtId="164" fontId="1" fillId="0" borderId="0" xfId="0" applyNumberFormat="1" applyFont="1"/>
    <xf numFmtId="3" fontId="6" fillId="0" borderId="1" xfId="0" applyNumberFormat="1" applyFont="1" applyBorder="1" applyAlignment="1">
      <alignment horizontal="left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5" fillId="0" borderId="1" xfId="0" applyNumberFormat="1" applyFont="1" applyBorder="1"/>
    <xf numFmtId="0" fontId="9" fillId="0" borderId="0" xfId="0" applyFont="1"/>
    <xf numFmtId="164" fontId="9" fillId="0" borderId="0" xfId="0" applyNumberFormat="1" applyFont="1"/>
    <xf numFmtId="4" fontId="2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09"/>
  <sheetViews>
    <sheetView topLeftCell="A31" workbookViewId="0">
      <selection activeCell="C88" sqref="C88"/>
    </sheetView>
  </sheetViews>
  <sheetFormatPr defaultColWidth="9.140625" defaultRowHeight="15" outlineLevelRow="2" x14ac:dyDescent="0.25"/>
  <cols>
    <col min="1" max="1" width="66.28515625" style="2" bestFit="1" customWidth="1"/>
    <col min="2" max="2" width="43.5703125" style="4" bestFit="1" customWidth="1"/>
    <col min="3" max="3" width="37.85546875" style="2" customWidth="1"/>
    <col min="4" max="4" width="35.140625" style="3" customWidth="1"/>
    <col min="5" max="5" width="13.7109375" style="2" bestFit="1" customWidth="1"/>
    <col min="6" max="16384" width="9.140625" style="1"/>
  </cols>
  <sheetData>
    <row r="1" spans="1:12" x14ac:dyDescent="0.25">
      <c r="A1" s="26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6" t="s">
        <v>490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x14ac:dyDescent="0.25">
      <c r="A3" s="26" t="s">
        <v>416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2" t="s">
        <v>0</v>
      </c>
      <c r="B4" s="13" t="s">
        <v>1</v>
      </c>
      <c r="C4" s="12" t="s">
        <v>418</v>
      </c>
      <c r="D4" s="12" t="s">
        <v>2</v>
      </c>
      <c r="E4" s="12" t="s">
        <v>3</v>
      </c>
      <c r="F4" s="14"/>
      <c r="G4" s="14"/>
      <c r="H4" s="14"/>
      <c r="I4" s="14"/>
      <c r="J4" s="14"/>
      <c r="K4" s="14"/>
      <c r="L4" s="14"/>
    </row>
    <row r="5" spans="1:12" hidden="1" outlineLevel="2" x14ac:dyDescent="0.25">
      <c r="A5" s="2" t="s">
        <v>5</v>
      </c>
      <c r="B5" s="1" t="s">
        <v>6</v>
      </c>
      <c r="C5" s="2" t="s">
        <v>7</v>
      </c>
      <c r="E5" s="2">
        <v>-22500819</v>
      </c>
    </row>
    <row r="6" spans="1:12" hidden="1" outlineLevel="2" x14ac:dyDescent="0.25">
      <c r="A6" s="2" t="s">
        <v>8</v>
      </c>
      <c r="B6" s="1" t="s">
        <v>9</v>
      </c>
      <c r="C6" s="2" t="s">
        <v>4</v>
      </c>
      <c r="E6" s="2">
        <v>382917</v>
      </c>
    </row>
    <row r="7" spans="1:12" hidden="1" outlineLevel="2" x14ac:dyDescent="0.25">
      <c r="A7" s="2" t="s">
        <v>10</v>
      </c>
      <c r="B7" s="1" t="s">
        <v>11</v>
      </c>
      <c r="C7" s="2" t="s">
        <v>12</v>
      </c>
      <c r="E7" s="2">
        <v>346844</v>
      </c>
    </row>
    <row r="8" spans="1:12" outlineLevel="2" x14ac:dyDescent="0.25">
      <c r="A8" s="6" t="s">
        <v>423</v>
      </c>
      <c r="B8" s="7" t="s">
        <v>421</v>
      </c>
      <c r="C8" s="6" t="s">
        <v>420</v>
      </c>
      <c r="D8" s="8">
        <v>3244723412</v>
      </c>
      <c r="E8" s="15">
        <v>8381669</v>
      </c>
      <c r="F8" s="5"/>
      <c r="G8" s="5"/>
      <c r="H8" s="5"/>
      <c r="I8" s="5"/>
      <c r="J8" s="5"/>
      <c r="K8" s="5"/>
      <c r="L8" s="5"/>
    </row>
    <row r="9" spans="1:12" outlineLevel="2" x14ac:dyDescent="0.25">
      <c r="A9" s="6" t="s">
        <v>13</v>
      </c>
      <c r="B9" s="8">
        <v>84090754</v>
      </c>
      <c r="C9" s="6" t="s">
        <v>417</v>
      </c>
      <c r="D9" s="8">
        <v>3007827171</v>
      </c>
      <c r="E9" s="15">
        <v>2803513</v>
      </c>
      <c r="F9" s="5"/>
      <c r="G9" s="5"/>
      <c r="H9" s="5"/>
      <c r="I9" s="5"/>
      <c r="J9" s="5"/>
      <c r="K9" s="5"/>
      <c r="L9" s="5"/>
    </row>
    <row r="10" spans="1:12" outlineLevel="2" x14ac:dyDescent="0.25">
      <c r="A10" s="6" t="s">
        <v>14</v>
      </c>
      <c r="B10" s="8"/>
      <c r="C10" s="6" t="s">
        <v>419</v>
      </c>
      <c r="D10" s="8" t="s">
        <v>422</v>
      </c>
      <c r="E10" s="15">
        <v>1172779</v>
      </c>
      <c r="F10" s="5"/>
      <c r="G10" s="5"/>
      <c r="H10" s="5"/>
      <c r="I10" s="5"/>
      <c r="J10" s="5"/>
      <c r="K10" s="5"/>
      <c r="L10" s="5"/>
    </row>
    <row r="11" spans="1:12" hidden="1" outlineLevel="2" x14ac:dyDescent="0.25">
      <c r="A11" s="2" t="s">
        <v>15</v>
      </c>
      <c r="B11" s="1" t="s">
        <v>16</v>
      </c>
      <c r="C11" s="6" t="s">
        <v>4</v>
      </c>
      <c r="D11" s="8"/>
      <c r="E11" s="2">
        <v>395950</v>
      </c>
    </row>
    <row r="12" spans="1:12" hidden="1" outlineLevel="2" x14ac:dyDescent="0.25">
      <c r="A12" s="2" t="s">
        <v>17</v>
      </c>
      <c r="B12" s="1" t="s">
        <v>18</v>
      </c>
      <c r="C12" s="6" t="s">
        <v>4</v>
      </c>
      <c r="D12" s="8"/>
      <c r="E12" s="2">
        <v>394604</v>
      </c>
    </row>
    <row r="13" spans="1:12" hidden="1" outlineLevel="2" x14ac:dyDescent="0.25">
      <c r="A13" s="2" t="s">
        <v>19</v>
      </c>
      <c r="B13" s="1" t="s">
        <v>20</v>
      </c>
      <c r="C13" s="6" t="s">
        <v>4</v>
      </c>
      <c r="D13" s="8"/>
      <c r="E13" s="2">
        <v>346628</v>
      </c>
    </row>
    <row r="14" spans="1:12" hidden="1" outlineLevel="2" x14ac:dyDescent="0.25">
      <c r="A14" s="2" t="s">
        <v>22</v>
      </c>
      <c r="B14" s="1" t="s">
        <v>23</v>
      </c>
      <c r="C14" s="6" t="s">
        <v>4</v>
      </c>
      <c r="D14" s="8"/>
      <c r="E14" s="2">
        <v>565434</v>
      </c>
    </row>
    <row r="15" spans="1:12" outlineLevel="2" x14ac:dyDescent="0.25">
      <c r="A15" s="6" t="s">
        <v>24</v>
      </c>
      <c r="B15" s="7" t="s">
        <v>25</v>
      </c>
      <c r="C15" s="6" t="s">
        <v>425</v>
      </c>
      <c r="D15" s="8" t="s">
        <v>424</v>
      </c>
      <c r="E15" s="15">
        <v>5506915</v>
      </c>
      <c r="F15" s="5"/>
      <c r="G15" s="5"/>
      <c r="H15" s="5"/>
      <c r="I15" s="5"/>
      <c r="J15" s="5"/>
      <c r="K15" s="5"/>
      <c r="L15" s="5"/>
    </row>
    <row r="16" spans="1:12" hidden="1" outlineLevel="2" x14ac:dyDescent="0.25">
      <c r="A16" s="2" t="s">
        <v>27</v>
      </c>
      <c r="B16" s="1" t="s">
        <v>28</v>
      </c>
      <c r="C16" s="6" t="s">
        <v>29</v>
      </c>
      <c r="D16" s="8"/>
      <c r="E16" s="2">
        <v>766228</v>
      </c>
    </row>
    <row r="17" spans="1:12" hidden="1" outlineLevel="2" x14ac:dyDescent="0.25">
      <c r="A17" s="2" t="s">
        <v>30</v>
      </c>
      <c r="B17" s="1" t="s">
        <v>31</v>
      </c>
      <c r="C17" s="6" t="s">
        <v>4</v>
      </c>
      <c r="D17" s="8"/>
      <c r="E17" s="2">
        <v>397308</v>
      </c>
    </row>
    <row r="18" spans="1:12" hidden="1" outlineLevel="2" x14ac:dyDescent="0.25">
      <c r="A18" s="2" t="s">
        <v>32</v>
      </c>
      <c r="B18" s="1" t="s">
        <v>33</v>
      </c>
      <c r="C18" s="6" t="s">
        <v>4</v>
      </c>
      <c r="D18" s="8"/>
      <c r="E18" s="2">
        <v>-10000</v>
      </c>
    </row>
    <row r="19" spans="1:12" hidden="1" outlineLevel="2" x14ac:dyDescent="0.25">
      <c r="A19" s="2" t="s">
        <v>34</v>
      </c>
      <c r="B19" s="1" t="s">
        <v>35</v>
      </c>
      <c r="C19" s="6" t="s">
        <v>4</v>
      </c>
      <c r="D19" s="8"/>
      <c r="E19" s="2">
        <v>382917</v>
      </c>
    </row>
    <row r="20" spans="1:12" hidden="1" outlineLevel="2" x14ac:dyDescent="0.25">
      <c r="A20" s="2" t="s">
        <v>36</v>
      </c>
      <c r="B20" s="1" t="s">
        <v>37</v>
      </c>
      <c r="C20" s="6" t="s">
        <v>4</v>
      </c>
      <c r="D20" s="8"/>
      <c r="E20" s="2">
        <v>614723</v>
      </c>
    </row>
    <row r="21" spans="1:12" outlineLevel="2" x14ac:dyDescent="0.25">
      <c r="A21" s="6" t="s">
        <v>428</v>
      </c>
      <c r="B21" s="7"/>
      <c r="C21" s="6" t="s">
        <v>426</v>
      </c>
      <c r="D21" s="8" t="s">
        <v>427</v>
      </c>
      <c r="E21" s="15">
        <v>7189239</v>
      </c>
      <c r="F21" s="5"/>
      <c r="G21" s="5"/>
      <c r="H21" s="5"/>
      <c r="I21" s="5"/>
      <c r="J21" s="5"/>
      <c r="K21" s="5"/>
      <c r="L21" s="5"/>
    </row>
    <row r="22" spans="1:12" hidden="1" outlineLevel="2" x14ac:dyDescent="0.25">
      <c r="A22" s="2" t="s">
        <v>38</v>
      </c>
      <c r="B22" s="1" t="s">
        <v>39</v>
      </c>
      <c r="C22" s="6" t="s">
        <v>4</v>
      </c>
      <c r="D22" s="8"/>
      <c r="E22" s="2">
        <v>382917</v>
      </c>
    </row>
    <row r="23" spans="1:12" hidden="1" outlineLevel="2" x14ac:dyDescent="0.25">
      <c r="A23" s="2" t="s">
        <v>40</v>
      </c>
      <c r="B23" s="1" t="s">
        <v>41</v>
      </c>
      <c r="C23" s="6" t="s">
        <v>4</v>
      </c>
      <c r="D23" s="8"/>
      <c r="E23" s="2">
        <v>397308</v>
      </c>
    </row>
    <row r="24" spans="1:12" hidden="1" outlineLevel="2" x14ac:dyDescent="0.25">
      <c r="A24" s="2" t="s">
        <v>42</v>
      </c>
      <c r="B24" s="1" t="s">
        <v>43</v>
      </c>
      <c r="C24" s="6" t="s">
        <v>4</v>
      </c>
      <c r="D24" s="8"/>
      <c r="E24" s="2">
        <v>397308</v>
      </c>
    </row>
    <row r="25" spans="1:12" hidden="1" outlineLevel="2" x14ac:dyDescent="0.25">
      <c r="A25" s="2" t="s">
        <v>44</v>
      </c>
      <c r="B25" s="1" t="s">
        <v>45</v>
      </c>
      <c r="C25" s="6" t="s">
        <v>4</v>
      </c>
      <c r="D25" s="8"/>
      <c r="E25" s="2">
        <v>408781</v>
      </c>
    </row>
    <row r="26" spans="1:12" hidden="1" outlineLevel="2" x14ac:dyDescent="0.25">
      <c r="A26" s="2" t="s">
        <v>46</v>
      </c>
      <c r="B26" s="1" t="s">
        <v>47</v>
      </c>
      <c r="C26" s="6" t="s">
        <v>4</v>
      </c>
      <c r="D26" s="8"/>
      <c r="E26" s="2">
        <v>382575</v>
      </c>
    </row>
    <row r="27" spans="1:12" hidden="1" outlineLevel="2" x14ac:dyDescent="0.25">
      <c r="A27" s="2" t="s">
        <v>48</v>
      </c>
      <c r="B27" s="1" t="s">
        <v>49</v>
      </c>
      <c r="C27" s="6" t="s">
        <v>4</v>
      </c>
      <c r="D27" s="8"/>
      <c r="E27" s="2">
        <v>-17765</v>
      </c>
    </row>
    <row r="28" spans="1:12" hidden="1" outlineLevel="2" x14ac:dyDescent="0.25">
      <c r="A28" s="2" t="s">
        <v>50</v>
      </c>
      <c r="B28" s="1" t="s">
        <v>51</v>
      </c>
      <c r="C28" s="6" t="s">
        <v>4</v>
      </c>
      <c r="D28" s="8"/>
      <c r="E28" s="2">
        <v>390616</v>
      </c>
    </row>
    <row r="29" spans="1:12" hidden="1" outlineLevel="2" x14ac:dyDescent="0.25">
      <c r="A29" s="2" t="s">
        <v>52</v>
      </c>
      <c r="B29" s="1" t="s">
        <v>53</v>
      </c>
      <c r="C29" s="6" t="s">
        <v>4</v>
      </c>
      <c r="D29" s="8"/>
      <c r="E29" s="2">
        <v>758525</v>
      </c>
    </row>
    <row r="30" spans="1:12" hidden="1" outlineLevel="2" x14ac:dyDescent="0.25">
      <c r="A30" s="2" t="s">
        <v>54</v>
      </c>
      <c r="B30" s="1" t="s">
        <v>55</v>
      </c>
      <c r="C30" s="6" t="s">
        <v>4</v>
      </c>
      <c r="D30" s="8"/>
      <c r="E30" s="2">
        <v>436995</v>
      </c>
    </row>
    <row r="31" spans="1:12" outlineLevel="2" x14ac:dyDescent="0.25">
      <c r="A31" s="6" t="s">
        <v>56</v>
      </c>
      <c r="B31" s="7"/>
      <c r="C31" s="6" t="s">
        <v>430</v>
      </c>
      <c r="D31" s="8" t="s">
        <v>429</v>
      </c>
      <c r="E31" s="15">
        <v>1650369</v>
      </c>
      <c r="F31" s="5"/>
      <c r="G31" s="5"/>
      <c r="H31" s="5"/>
      <c r="I31" s="5"/>
      <c r="J31" s="5"/>
      <c r="K31" s="5"/>
      <c r="L31" s="5"/>
    </row>
    <row r="32" spans="1:12" hidden="1" outlineLevel="2" x14ac:dyDescent="0.25">
      <c r="A32" s="2" t="s">
        <v>57</v>
      </c>
      <c r="B32" s="1" t="s">
        <v>58</v>
      </c>
      <c r="C32" s="6" t="s">
        <v>4</v>
      </c>
      <c r="D32" s="8"/>
      <c r="E32" s="2">
        <v>-6450</v>
      </c>
    </row>
    <row r="33" spans="1:12" hidden="1" outlineLevel="2" x14ac:dyDescent="0.25">
      <c r="A33" s="2" t="s">
        <v>59</v>
      </c>
      <c r="B33" s="1" t="s">
        <v>60</v>
      </c>
      <c r="C33" s="6" t="s">
        <v>12</v>
      </c>
      <c r="D33" s="8" t="s">
        <v>61</v>
      </c>
      <c r="E33" s="2">
        <v>30000</v>
      </c>
    </row>
    <row r="34" spans="1:12" outlineLevel="2" x14ac:dyDescent="0.25">
      <c r="A34" s="6" t="s">
        <v>431</v>
      </c>
      <c r="B34" s="9">
        <v>32559656</v>
      </c>
      <c r="C34" s="6" t="s">
        <v>432</v>
      </c>
      <c r="D34" s="8" t="s">
        <v>433</v>
      </c>
      <c r="E34" s="15">
        <v>1378958</v>
      </c>
      <c r="F34" s="5"/>
      <c r="G34" s="5"/>
      <c r="H34" s="5"/>
      <c r="I34" s="5"/>
      <c r="J34" s="5"/>
      <c r="K34" s="5"/>
      <c r="L34" s="5"/>
    </row>
    <row r="35" spans="1:12" hidden="1" outlineLevel="2" x14ac:dyDescent="0.25">
      <c r="A35" s="2" t="s">
        <v>62</v>
      </c>
      <c r="B35" s="1" t="s">
        <v>63</v>
      </c>
      <c r="C35" s="6" t="s">
        <v>4</v>
      </c>
      <c r="D35" s="8"/>
      <c r="E35" s="2">
        <v>-332870</v>
      </c>
    </row>
    <row r="36" spans="1:12" hidden="1" outlineLevel="2" x14ac:dyDescent="0.25">
      <c r="A36" s="2" t="s">
        <v>64</v>
      </c>
      <c r="B36" s="1" t="s">
        <v>65</v>
      </c>
      <c r="C36" s="6" t="s">
        <v>4</v>
      </c>
      <c r="D36" s="8"/>
      <c r="E36" s="2">
        <v>397308</v>
      </c>
    </row>
    <row r="37" spans="1:12" outlineLevel="2" x14ac:dyDescent="0.25">
      <c r="A37" s="6" t="s">
        <v>66</v>
      </c>
      <c r="B37" s="7" t="s">
        <v>67</v>
      </c>
      <c r="C37" s="6" t="s">
        <v>435</v>
      </c>
      <c r="D37" s="8" t="s">
        <v>434</v>
      </c>
      <c r="E37" s="15">
        <v>20757565</v>
      </c>
      <c r="F37" s="5"/>
      <c r="G37" s="5"/>
      <c r="H37" s="5"/>
      <c r="I37" s="5"/>
      <c r="J37" s="5"/>
      <c r="K37" s="5"/>
      <c r="L37" s="5"/>
    </row>
    <row r="38" spans="1:12" hidden="1" outlineLevel="2" x14ac:dyDescent="0.25">
      <c r="A38" s="2" t="s">
        <v>68</v>
      </c>
      <c r="B38" s="1" t="s">
        <v>69</v>
      </c>
      <c r="C38" s="6" t="s">
        <v>4</v>
      </c>
      <c r="D38" s="8"/>
      <c r="E38" s="2">
        <v>804080</v>
      </c>
    </row>
    <row r="39" spans="1:12" outlineLevel="2" x14ac:dyDescent="0.25">
      <c r="A39" s="6" t="s">
        <v>70</v>
      </c>
      <c r="B39" s="7" t="s">
        <v>71</v>
      </c>
      <c r="C39" s="6" t="s">
        <v>437</v>
      </c>
      <c r="D39" s="8" t="s">
        <v>436</v>
      </c>
      <c r="E39" s="15">
        <v>3772639</v>
      </c>
      <c r="F39" s="5"/>
      <c r="G39" s="5"/>
      <c r="H39" s="5"/>
      <c r="I39" s="5"/>
      <c r="J39" s="5"/>
      <c r="K39" s="5"/>
      <c r="L39" s="5"/>
    </row>
    <row r="40" spans="1:12" hidden="1" outlineLevel="2" x14ac:dyDescent="0.25">
      <c r="A40" s="2" t="s">
        <v>72</v>
      </c>
      <c r="B40" s="1" t="s">
        <v>73</v>
      </c>
      <c r="C40" s="6" t="s">
        <v>4</v>
      </c>
      <c r="D40" s="8"/>
      <c r="E40" s="2">
        <v>382917</v>
      </c>
    </row>
    <row r="41" spans="1:12" hidden="1" outlineLevel="2" x14ac:dyDescent="0.25">
      <c r="A41" s="2" t="s">
        <v>74</v>
      </c>
      <c r="B41" s="1" t="s">
        <v>75</v>
      </c>
      <c r="C41" s="6" t="s">
        <v>4</v>
      </c>
      <c r="D41" s="8"/>
      <c r="E41" s="2">
        <v>341744</v>
      </c>
    </row>
    <row r="42" spans="1:12" outlineLevel="2" x14ac:dyDescent="0.25">
      <c r="A42" s="6" t="s">
        <v>76</v>
      </c>
      <c r="B42" s="7" t="s">
        <v>77</v>
      </c>
      <c r="C42" s="6" t="s">
        <v>439</v>
      </c>
      <c r="D42" s="8" t="s">
        <v>438</v>
      </c>
      <c r="E42" s="15">
        <v>4544820</v>
      </c>
      <c r="F42" s="5"/>
      <c r="G42" s="5"/>
      <c r="H42" s="5"/>
      <c r="I42" s="5"/>
      <c r="J42" s="5"/>
      <c r="K42" s="5"/>
      <c r="L42" s="5"/>
    </row>
    <row r="43" spans="1:12" ht="15.75" outlineLevel="2" x14ac:dyDescent="0.25">
      <c r="A43" s="6" t="s">
        <v>441</v>
      </c>
      <c r="B43" s="10">
        <v>37947954</v>
      </c>
      <c r="C43" s="6" t="s">
        <v>440</v>
      </c>
      <c r="D43" s="8" t="s">
        <v>442</v>
      </c>
      <c r="E43" s="15">
        <v>1218114</v>
      </c>
      <c r="F43" s="5"/>
      <c r="G43" s="5"/>
      <c r="H43" s="5"/>
      <c r="I43" s="5"/>
      <c r="J43" s="5"/>
      <c r="K43" s="5"/>
      <c r="L43" s="5"/>
    </row>
    <row r="44" spans="1:12" hidden="1" outlineLevel="2" x14ac:dyDescent="0.25">
      <c r="A44" s="2" t="s">
        <v>78</v>
      </c>
      <c r="B44" s="1" t="s">
        <v>79</v>
      </c>
      <c r="C44" s="6" t="s">
        <v>80</v>
      </c>
      <c r="D44" s="8" t="s">
        <v>81</v>
      </c>
      <c r="E44" s="2">
        <v>382917</v>
      </c>
    </row>
    <row r="45" spans="1:12" ht="15.75" outlineLevel="2" x14ac:dyDescent="0.25">
      <c r="A45" s="6" t="s">
        <v>444</v>
      </c>
      <c r="B45" s="11">
        <v>1143358676</v>
      </c>
      <c r="C45" s="6" t="s">
        <v>445</v>
      </c>
      <c r="D45" s="8" t="s">
        <v>443</v>
      </c>
      <c r="E45" s="15">
        <v>1929219</v>
      </c>
      <c r="F45" s="5"/>
      <c r="G45" s="5"/>
      <c r="H45" s="5"/>
      <c r="I45" s="5"/>
      <c r="J45" s="5"/>
      <c r="K45" s="5"/>
      <c r="L45" s="5"/>
    </row>
    <row r="46" spans="1:12" hidden="1" outlineLevel="2" x14ac:dyDescent="0.25">
      <c r="A46" s="2" t="s">
        <v>82</v>
      </c>
      <c r="B46" s="1" t="s">
        <v>83</v>
      </c>
      <c r="C46" s="6" t="s">
        <v>12</v>
      </c>
      <c r="D46" s="8" t="s">
        <v>84</v>
      </c>
      <c r="E46" s="2">
        <v>803198</v>
      </c>
    </row>
    <row r="47" spans="1:12" hidden="1" outlineLevel="2" x14ac:dyDescent="0.25">
      <c r="A47" s="2" t="s">
        <v>85</v>
      </c>
      <c r="B47" s="1" t="s">
        <v>86</v>
      </c>
      <c r="C47" s="6" t="s">
        <v>87</v>
      </c>
      <c r="D47" s="8"/>
      <c r="E47" s="2">
        <v>398936</v>
      </c>
    </row>
    <row r="48" spans="1:12" hidden="1" outlineLevel="2" x14ac:dyDescent="0.25">
      <c r="A48" s="2" t="s">
        <v>88</v>
      </c>
      <c r="B48" s="1" t="s">
        <v>89</v>
      </c>
      <c r="C48" s="6" t="s">
        <v>4</v>
      </c>
      <c r="D48" s="8"/>
      <c r="E48" s="2">
        <v>391314</v>
      </c>
    </row>
    <row r="49" spans="1:12" hidden="1" outlineLevel="2" x14ac:dyDescent="0.25">
      <c r="A49" s="2" t="s">
        <v>90</v>
      </c>
      <c r="B49" s="1" t="s">
        <v>91</v>
      </c>
      <c r="C49" s="6" t="s">
        <v>12</v>
      </c>
      <c r="D49" s="8" t="s">
        <v>21</v>
      </c>
      <c r="E49" s="2">
        <v>769476</v>
      </c>
    </row>
    <row r="50" spans="1:12" hidden="1" outlineLevel="2" x14ac:dyDescent="0.25">
      <c r="A50" s="2" t="s">
        <v>92</v>
      </c>
      <c r="B50" s="1" t="s">
        <v>93</v>
      </c>
      <c r="C50" s="6" t="s">
        <v>4</v>
      </c>
      <c r="D50" s="8" t="s">
        <v>94</v>
      </c>
      <c r="E50" s="2">
        <v>382015</v>
      </c>
    </row>
    <row r="51" spans="1:12" hidden="1" outlineLevel="2" x14ac:dyDescent="0.25">
      <c r="A51" s="2" t="s">
        <v>95</v>
      </c>
      <c r="B51" s="1" t="s">
        <v>96</v>
      </c>
      <c r="C51" s="6" t="s">
        <v>4</v>
      </c>
      <c r="D51" s="8" t="s">
        <v>97</v>
      </c>
      <c r="E51" s="2">
        <v>391805</v>
      </c>
    </row>
    <row r="52" spans="1:12" hidden="1" outlineLevel="2" x14ac:dyDescent="0.25">
      <c r="A52" s="2" t="s">
        <v>98</v>
      </c>
      <c r="B52" s="1" t="s">
        <v>99</v>
      </c>
      <c r="C52" s="6" t="s">
        <v>4</v>
      </c>
      <c r="D52" s="8" t="s">
        <v>100</v>
      </c>
      <c r="E52" s="2">
        <v>331707</v>
      </c>
    </row>
    <row r="53" spans="1:12" hidden="1" outlineLevel="2" x14ac:dyDescent="0.25">
      <c r="A53" s="2" t="s">
        <v>101</v>
      </c>
      <c r="B53" s="1" t="s">
        <v>102</v>
      </c>
      <c r="C53" s="6" t="s">
        <v>4</v>
      </c>
      <c r="D53" s="8"/>
      <c r="E53" s="2">
        <v>397308</v>
      </c>
    </row>
    <row r="54" spans="1:12" hidden="1" outlineLevel="2" x14ac:dyDescent="0.25">
      <c r="A54" s="2" t="s">
        <v>103</v>
      </c>
      <c r="B54" s="1" t="s">
        <v>104</v>
      </c>
      <c r="C54" s="6" t="s">
        <v>4</v>
      </c>
      <c r="D54" s="8"/>
      <c r="E54" s="2">
        <v>237366</v>
      </c>
    </row>
    <row r="55" spans="1:12" hidden="1" outlineLevel="2" x14ac:dyDescent="0.25">
      <c r="A55" s="2" t="s">
        <v>105</v>
      </c>
      <c r="B55" s="1" t="s">
        <v>106</v>
      </c>
      <c r="C55" s="6" t="s">
        <v>4</v>
      </c>
      <c r="D55" s="8"/>
      <c r="E55" s="2">
        <v>403425</v>
      </c>
    </row>
    <row r="56" spans="1:12" hidden="1" outlineLevel="2" x14ac:dyDescent="0.25">
      <c r="A56" s="2" t="s">
        <v>107</v>
      </c>
      <c r="B56" s="1" t="s">
        <v>108</v>
      </c>
      <c r="C56" s="6" t="s">
        <v>29</v>
      </c>
      <c r="D56" s="8" t="s">
        <v>109</v>
      </c>
      <c r="E56" s="2">
        <v>397308</v>
      </c>
    </row>
    <row r="57" spans="1:12" hidden="1" outlineLevel="2" x14ac:dyDescent="0.25">
      <c r="A57" s="2" t="s">
        <v>110</v>
      </c>
      <c r="B57" s="1" t="s">
        <v>111</v>
      </c>
      <c r="C57" s="6" t="s">
        <v>29</v>
      </c>
      <c r="D57" s="8"/>
      <c r="E57" s="2">
        <v>740320</v>
      </c>
    </row>
    <row r="58" spans="1:12" hidden="1" outlineLevel="2" x14ac:dyDescent="0.25">
      <c r="A58" s="2" t="s">
        <v>112</v>
      </c>
      <c r="B58" s="1" t="s">
        <v>113</v>
      </c>
      <c r="C58" s="6" t="s">
        <v>4</v>
      </c>
      <c r="D58" s="8"/>
      <c r="E58" s="2">
        <v>397308</v>
      </c>
    </row>
    <row r="59" spans="1:12" hidden="1" outlineLevel="2" x14ac:dyDescent="0.25">
      <c r="A59" s="2" t="s">
        <v>114</v>
      </c>
      <c r="B59" s="1" t="s">
        <v>115</v>
      </c>
      <c r="C59" s="6" t="s">
        <v>4</v>
      </c>
      <c r="D59" s="8"/>
      <c r="E59" s="2">
        <v>-83</v>
      </c>
    </row>
    <row r="60" spans="1:12" hidden="1" outlineLevel="2" x14ac:dyDescent="0.25">
      <c r="A60" s="2" t="s">
        <v>116</v>
      </c>
      <c r="B60" s="1" t="s">
        <v>117</v>
      </c>
      <c r="C60" s="6" t="s">
        <v>4</v>
      </c>
      <c r="D60" s="8"/>
      <c r="E60" s="2">
        <v>382917</v>
      </c>
    </row>
    <row r="61" spans="1:12" hidden="1" outlineLevel="2" x14ac:dyDescent="0.25">
      <c r="A61" s="2" t="s">
        <v>118</v>
      </c>
      <c r="B61" s="1" t="s">
        <v>119</v>
      </c>
      <c r="C61" s="6" t="s">
        <v>4</v>
      </c>
      <c r="D61" s="8"/>
      <c r="E61" s="2">
        <v>397308</v>
      </c>
    </row>
    <row r="62" spans="1:12" hidden="1" outlineLevel="2" x14ac:dyDescent="0.25">
      <c r="A62" s="2" t="s">
        <v>120</v>
      </c>
      <c r="B62" s="1" t="s">
        <v>121</v>
      </c>
      <c r="C62" s="6" t="s">
        <v>4</v>
      </c>
      <c r="D62" s="8"/>
      <c r="E62" s="2">
        <v>397308</v>
      </c>
    </row>
    <row r="63" spans="1:12" outlineLevel="2" x14ac:dyDescent="0.25">
      <c r="A63" s="6" t="s">
        <v>448</v>
      </c>
      <c r="B63" s="7"/>
      <c r="C63" s="6" t="s">
        <v>446</v>
      </c>
      <c r="D63" s="8" t="s">
        <v>447</v>
      </c>
      <c r="E63" s="15">
        <v>1140541</v>
      </c>
      <c r="F63" s="5"/>
      <c r="G63" s="5"/>
      <c r="H63" s="5"/>
      <c r="I63" s="5"/>
      <c r="J63" s="5"/>
      <c r="K63" s="5"/>
      <c r="L63" s="5"/>
    </row>
    <row r="64" spans="1:12" hidden="1" outlineLevel="2" x14ac:dyDescent="0.25">
      <c r="A64" s="2" t="s">
        <v>122</v>
      </c>
      <c r="B64" s="1" t="s">
        <v>123</v>
      </c>
      <c r="C64" s="6" t="s">
        <v>4</v>
      </c>
      <c r="D64" s="8"/>
      <c r="E64" s="2">
        <v>803078</v>
      </c>
    </row>
    <row r="65" spans="1:12" hidden="1" outlineLevel="2" x14ac:dyDescent="0.25">
      <c r="A65" s="2" t="s">
        <v>124</v>
      </c>
      <c r="B65" s="1" t="s">
        <v>125</v>
      </c>
      <c r="C65" s="6" t="s">
        <v>4</v>
      </c>
      <c r="D65" s="8"/>
      <c r="E65" s="2">
        <v>397308</v>
      </c>
    </row>
    <row r="66" spans="1:12" hidden="1" outlineLevel="2" x14ac:dyDescent="0.25">
      <c r="A66" s="2" t="s">
        <v>126</v>
      </c>
      <c r="B66" s="1" t="s">
        <v>127</v>
      </c>
      <c r="C66" s="6" t="s">
        <v>4</v>
      </c>
      <c r="D66" s="8"/>
      <c r="E66" s="2">
        <v>175418</v>
      </c>
    </row>
    <row r="67" spans="1:12" hidden="1" outlineLevel="2" x14ac:dyDescent="0.25">
      <c r="A67" s="2" t="s">
        <v>128</v>
      </c>
      <c r="B67" s="1" t="s">
        <v>129</v>
      </c>
      <c r="C67" s="6" t="s">
        <v>4</v>
      </c>
      <c r="D67" s="8"/>
      <c r="E67" s="2">
        <v>396616</v>
      </c>
    </row>
    <row r="68" spans="1:12" hidden="1" outlineLevel="2" x14ac:dyDescent="0.25">
      <c r="A68" s="2" t="s">
        <v>130</v>
      </c>
      <c r="B68" s="1" t="s">
        <v>131</v>
      </c>
      <c r="C68" s="6" t="s">
        <v>4</v>
      </c>
      <c r="D68" s="8"/>
      <c r="E68" s="2">
        <v>772105</v>
      </c>
    </row>
    <row r="69" spans="1:12" hidden="1" outlineLevel="2" x14ac:dyDescent="0.25">
      <c r="A69" s="2" t="s">
        <v>132</v>
      </c>
      <c r="B69" s="1" t="s">
        <v>133</v>
      </c>
      <c r="C69" s="6" t="s">
        <v>4</v>
      </c>
      <c r="D69" s="8"/>
      <c r="E69" s="2">
        <v>397308</v>
      </c>
    </row>
    <row r="70" spans="1:12" hidden="1" outlineLevel="2" x14ac:dyDescent="0.25">
      <c r="A70" s="2" t="s">
        <v>134</v>
      </c>
      <c r="B70" s="1" t="s">
        <v>135</v>
      </c>
      <c r="C70" s="6" t="s">
        <v>4</v>
      </c>
      <c r="D70" s="8"/>
      <c r="E70" s="2">
        <v>808257</v>
      </c>
    </row>
    <row r="71" spans="1:12" hidden="1" outlineLevel="2" x14ac:dyDescent="0.25">
      <c r="A71" s="2" t="s">
        <v>136</v>
      </c>
      <c r="B71" s="1" t="s">
        <v>137</v>
      </c>
      <c r="C71" s="6" t="s">
        <v>4</v>
      </c>
      <c r="D71" s="8"/>
      <c r="E71" s="2">
        <v>451772</v>
      </c>
    </row>
    <row r="72" spans="1:12" hidden="1" outlineLevel="2" x14ac:dyDescent="0.25">
      <c r="A72" s="2" t="s">
        <v>138</v>
      </c>
      <c r="B72" s="1" t="s">
        <v>139</v>
      </c>
      <c r="C72" s="6" t="s">
        <v>4</v>
      </c>
      <c r="D72" s="8"/>
      <c r="E72" s="2">
        <v>405890</v>
      </c>
    </row>
    <row r="73" spans="1:12" hidden="1" outlineLevel="2" x14ac:dyDescent="0.25">
      <c r="A73" s="2" t="s">
        <v>140</v>
      </c>
      <c r="B73" s="1" t="s">
        <v>141</v>
      </c>
      <c r="C73" s="6" t="s">
        <v>4</v>
      </c>
      <c r="D73" s="8"/>
      <c r="E73" s="2">
        <v>408026</v>
      </c>
    </row>
    <row r="74" spans="1:12" hidden="1" outlineLevel="2" x14ac:dyDescent="0.25">
      <c r="A74" s="2" t="s">
        <v>142</v>
      </c>
      <c r="B74" s="1" t="s">
        <v>143</v>
      </c>
      <c r="C74" s="6" t="s">
        <v>29</v>
      </c>
      <c r="D74" s="8"/>
      <c r="E74" s="2">
        <v>382917</v>
      </c>
    </row>
    <row r="75" spans="1:12" hidden="1" outlineLevel="2" x14ac:dyDescent="0.25">
      <c r="A75" s="2" t="s">
        <v>144</v>
      </c>
      <c r="B75" s="1" t="s">
        <v>145</v>
      </c>
      <c r="C75" s="6" t="s">
        <v>4</v>
      </c>
      <c r="D75" s="8"/>
      <c r="E75" s="2">
        <v>422991</v>
      </c>
    </row>
    <row r="76" spans="1:12" hidden="1" outlineLevel="2" x14ac:dyDescent="0.25">
      <c r="A76" s="2" t="s">
        <v>146</v>
      </c>
      <c r="B76" s="1" t="s">
        <v>147</v>
      </c>
      <c r="C76" s="6" t="s">
        <v>4</v>
      </c>
      <c r="D76" s="8"/>
      <c r="E76" s="2">
        <v>684293</v>
      </c>
    </row>
    <row r="77" spans="1:12" hidden="1" outlineLevel="2" x14ac:dyDescent="0.25">
      <c r="A77" s="2" t="s">
        <v>148</v>
      </c>
      <c r="B77" s="1" t="s">
        <v>149</v>
      </c>
      <c r="C77" s="6" t="s">
        <v>4</v>
      </c>
      <c r="D77" s="8"/>
      <c r="E77" s="2">
        <v>382917</v>
      </c>
    </row>
    <row r="78" spans="1:12" hidden="1" outlineLevel="2" x14ac:dyDescent="0.25">
      <c r="A78" s="2" t="s">
        <v>150</v>
      </c>
      <c r="B78" s="1" t="s">
        <v>151</v>
      </c>
      <c r="C78" s="6" t="s">
        <v>4</v>
      </c>
      <c r="D78" s="8" t="s">
        <v>152</v>
      </c>
      <c r="E78" s="2">
        <v>866113</v>
      </c>
    </row>
    <row r="79" spans="1:12" outlineLevel="2" x14ac:dyDescent="0.25">
      <c r="A79" s="6" t="s">
        <v>153</v>
      </c>
      <c r="B79" s="7"/>
      <c r="C79" s="6" t="s">
        <v>450</v>
      </c>
      <c r="D79" s="8" t="s">
        <v>449</v>
      </c>
      <c r="E79" s="15">
        <v>7240059</v>
      </c>
      <c r="F79" s="5"/>
      <c r="G79" s="5"/>
      <c r="H79" s="5"/>
      <c r="I79" s="5"/>
      <c r="J79" s="5"/>
      <c r="K79" s="5"/>
      <c r="L79" s="5"/>
    </row>
    <row r="80" spans="1:12" hidden="1" outlineLevel="2" x14ac:dyDescent="0.25">
      <c r="A80" s="2" t="s">
        <v>154</v>
      </c>
      <c r="B80" s="1" t="s">
        <v>155</v>
      </c>
      <c r="C80" s="6" t="s">
        <v>4</v>
      </c>
      <c r="D80" s="8"/>
      <c r="E80" s="2">
        <v>382917</v>
      </c>
    </row>
    <row r="81" spans="1:12" hidden="1" outlineLevel="2" x14ac:dyDescent="0.25">
      <c r="A81" s="2" t="s">
        <v>156</v>
      </c>
      <c r="B81" s="1" t="s">
        <v>157</v>
      </c>
      <c r="C81" s="6" t="s">
        <v>158</v>
      </c>
      <c r="D81" s="8"/>
      <c r="E81" s="2">
        <v>397308</v>
      </c>
    </row>
    <row r="82" spans="1:12" hidden="1" outlineLevel="2" x14ac:dyDescent="0.25">
      <c r="A82" s="2" t="s">
        <v>159</v>
      </c>
      <c r="B82" s="1" t="s">
        <v>160</v>
      </c>
      <c r="C82" s="6" t="s">
        <v>4</v>
      </c>
      <c r="D82" s="8"/>
      <c r="E82" s="2">
        <v>828720</v>
      </c>
    </row>
    <row r="83" spans="1:12" hidden="1" outlineLevel="2" x14ac:dyDescent="0.25">
      <c r="A83" s="2" t="s">
        <v>161</v>
      </c>
      <c r="B83" s="1" t="s">
        <v>162</v>
      </c>
      <c r="C83" s="6" t="s">
        <v>4</v>
      </c>
      <c r="D83" s="8" t="s">
        <v>163</v>
      </c>
      <c r="E83" s="2">
        <v>396616</v>
      </c>
    </row>
    <row r="84" spans="1:12" hidden="1" outlineLevel="2" x14ac:dyDescent="0.25">
      <c r="A84" s="2" t="s">
        <v>164</v>
      </c>
      <c r="B84" s="1" t="s">
        <v>165</v>
      </c>
      <c r="C84" s="6" t="s">
        <v>4</v>
      </c>
      <c r="D84" s="8"/>
      <c r="E84" s="2">
        <v>-10065</v>
      </c>
    </row>
    <row r="85" spans="1:12" hidden="1" outlineLevel="2" x14ac:dyDescent="0.25">
      <c r="A85" s="2" t="s">
        <v>166</v>
      </c>
      <c r="B85" s="1" t="s">
        <v>167</v>
      </c>
      <c r="C85" s="6" t="s">
        <v>4</v>
      </c>
      <c r="D85" s="8"/>
      <c r="E85" s="2">
        <v>397308</v>
      </c>
    </row>
    <row r="86" spans="1:12" hidden="1" outlineLevel="2" x14ac:dyDescent="0.25">
      <c r="A86" s="2" t="s">
        <v>168</v>
      </c>
      <c r="B86" s="1" t="s">
        <v>169</v>
      </c>
      <c r="C86" s="6" t="s">
        <v>4</v>
      </c>
      <c r="D86" s="8" t="s">
        <v>170</v>
      </c>
      <c r="E86" s="2">
        <v>373979</v>
      </c>
    </row>
    <row r="87" spans="1:12" outlineLevel="2" x14ac:dyDescent="0.25">
      <c r="A87" s="6" t="s">
        <v>171</v>
      </c>
      <c r="B87" s="7"/>
      <c r="C87" s="6" t="s">
        <v>451</v>
      </c>
      <c r="D87" s="8" t="s">
        <v>452</v>
      </c>
      <c r="E87" s="15">
        <v>31911979</v>
      </c>
      <c r="F87" s="5"/>
      <c r="G87" s="5"/>
      <c r="H87" s="5"/>
      <c r="I87" s="5"/>
      <c r="J87" s="5"/>
      <c r="K87" s="5"/>
      <c r="L87" s="5"/>
    </row>
    <row r="88" spans="1:12" outlineLevel="2" x14ac:dyDescent="0.25">
      <c r="A88" s="6" t="s">
        <v>172</v>
      </c>
      <c r="B88" s="7"/>
      <c r="C88" s="6"/>
      <c r="D88" s="8"/>
      <c r="E88" s="15">
        <v>1200506</v>
      </c>
      <c r="F88" s="5"/>
      <c r="G88" s="5"/>
      <c r="H88" s="5"/>
      <c r="I88" s="5"/>
      <c r="J88" s="5"/>
      <c r="K88" s="5"/>
      <c r="L88" s="5"/>
    </row>
    <row r="89" spans="1:12" hidden="1" outlineLevel="2" x14ac:dyDescent="0.25">
      <c r="A89" s="2" t="s">
        <v>173</v>
      </c>
      <c r="B89" s="1" t="s">
        <v>174</v>
      </c>
      <c r="C89" s="6" t="s">
        <v>4</v>
      </c>
      <c r="D89" s="8"/>
      <c r="E89" s="2">
        <v>-101</v>
      </c>
    </row>
    <row r="90" spans="1:12" outlineLevel="2" x14ac:dyDescent="0.25">
      <c r="A90" s="6" t="s">
        <v>175</v>
      </c>
      <c r="B90" s="8">
        <v>1128047366</v>
      </c>
      <c r="C90" s="6" t="s">
        <v>453</v>
      </c>
      <c r="D90" s="8" t="s">
        <v>454</v>
      </c>
      <c r="E90" s="15">
        <v>1598791</v>
      </c>
      <c r="F90" s="5"/>
      <c r="G90" s="5"/>
      <c r="H90" s="5"/>
      <c r="I90" s="5"/>
      <c r="J90" s="5"/>
      <c r="K90" s="5"/>
      <c r="L90" s="5"/>
    </row>
    <row r="91" spans="1:12" hidden="1" outlineLevel="2" x14ac:dyDescent="0.25">
      <c r="A91" s="2" t="s">
        <v>176</v>
      </c>
      <c r="B91" s="1" t="s">
        <v>177</v>
      </c>
      <c r="C91" s="6" t="s">
        <v>4</v>
      </c>
      <c r="D91" s="8"/>
      <c r="E91" s="2">
        <v>397308</v>
      </c>
    </row>
    <row r="92" spans="1:12" hidden="1" outlineLevel="2" x14ac:dyDescent="0.25">
      <c r="A92" s="2" t="s">
        <v>178</v>
      </c>
      <c r="B92" s="1" t="s">
        <v>179</v>
      </c>
      <c r="C92" s="6" t="s">
        <v>4</v>
      </c>
      <c r="D92" s="8"/>
      <c r="E92" s="2">
        <v>382917</v>
      </c>
    </row>
    <row r="93" spans="1:12" hidden="1" outlineLevel="2" x14ac:dyDescent="0.25">
      <c r="A93" s="2" t="s">
        <v>180</v>
      </c>
      <c r="B93" s="1" t="s">
        <v>181</v>
      </c>
      <c r="C93" s="6" t="s">
        <v>4</v>
      </c>
      <c r="D93" s="8"/>
      <c r="E93" s="2">
        <v>397308</v>
      </c>
    </row>
    <row r="94" spans="1:12" hidden="1" outlineLevel="2" x14ac:dyDescent="0.25">
      <c r="A94" s="2" t="s">
        <v>182</v>
      </c>
      <c r="B94" s="1" t="s">
        <v>183</v>
      </c>
      <c r="C94" s="6" t="s">
        <v>26</v>
      </c>
      <c r="D94" s="8"/>
      <c r="E94" s="2">
        <v>-62091</v>
      </c>
    </row>
    <row r="95" spans="1:12" hidden="1" outlineLevel="2" x14ac:dyDescent="0.25">
      <c r="A95" s="2" t="s">
        <v>184</v>
      </c>
      <c r="B95" s="1" t="s">
        <v>185</v>
      </c>
      <c r="C95" s="6" t="s">
        <v>186</v>
      </c>
      <c r="D95" s="8"/>
      <c r="E95" s="2">
        <v>398936</v>
      </c>
    </row>
    <row r="96" spans="1:12" hidden="1" outlineLevel="2" x14ac:dyDescent="0.25">
      <c r="A96" s="2" t="s">
        <v>187</v>
      </c>
      <c r="B96" s="1" t="s">
        <v>188</v>
      </c>
      <c r="C96" s="6" t="s">
        <v>4</v>
      </c>
      <c r="D96" s="8"/>
      <c r="E96" s="2">
        <v>-7989</v>
      </c>
    </row>
    <row r="97" spans="1:12" outlineLevel="2" x14ac:dyDescent="0.25">
      <c r="A97" s="6" t="s">
        <v>456</v>
      </c>
      <c r="B97" s="7"/>
      <c r="C97" s="6" t="s">
        <v>457</v>
      </c>
      <c r="D97" s="8" t="s">
        <v>455</v>
      </c>
      <c r="E97" s="15">
        <v>1163344</v>
      </c>
      <c r="F97" s="5"/>
      <c r="G97" s="5"/>
      <c r="H97" s="5"/>
      <c r="I97" s="5"/>
      <c r="J97" s="5"/>
      <c r="K97" s="5"/>
      <c r="L97" s="5"/>
    </row>
    <row r="98" spans="1:12" hidden="1" outlineLevel="2" x14ac:dyDescent="0.25">
      <c r="A98" s="2" t="s">
        <v>189</v>
      </c>
      <c r="B98" s="1" t="s">
        <v>190</v>
      </c>
      <c r="C98" s="6" t="s">
        <v>4</v>
      </c>
      <c r="D98" s="8"/>
      <c r="E98" s="2">
        <v>397308</v>
      </c>
    </row>
    <row r="99" spans="1:12" hidden="1" outlineLevel="2" x14ac:dyDescent="0.25">
      <c r="A99" s="2" t="s">
        <v>191</v>
      </c>
      <c r="B99" s="1" t="s">
        <v>192</v>
      </c>
      <c r="C99" s="6" t="s">
        <v>193</v>
      </c>
      <c r="D99" s="8"/>
      <c r="E99" s="2">
        <v>407087</v>
      </c>
    </row>
    <row r="100" spans="1:12" hidden="1" outlineLevel="2" x14ac:dyDescent="0.25">
      <c r="A100" s="2" t="s">
        <v>194</v>
      </c>
      <c r="B100" s="1" t="s">
        <v>195</v>
      </c>
      <c r="C100" s="6" t="s">
        <v>29</v>
      </c>
      <c r="D100" s="8" t="s">
        <v>196</v>
      </c>
      <c r="E100" s="2">
        <v>397308</v>
      </c>
    </row>
    <row r="101" spans="1:12" hidden="1" outlineLevel="2" x14ac:dyDescent="0.25">
      <c r="A101" s="2" t="s">
        <v>197</v>
      </c>
      <c r="B101" s="1" t="s">
        <v>198</v>
      </c>
      <c r="C101" s="6" t="s">
        <v>4</v>
      </c>
      <c r="D101" s="8"/>
      <c r="E101" s="2">
        <v>497863</v>
      </c>
    </row>
    <row r="102" spans="1:12" hidden="1" outlineLevel="2" x14ac:dyDescent="0.25">
      <c r="A102" s="2" t="s">
        <v>199</v>
      </c>
      <c r="B102" s="1" t="s">
        <v>200</v>
      </c>
      <c r="C102" s="6" t="s">
        <v>4</v>
      </c>
      <c r="D102" s="8"/>
      <c r="E102" s="2">
        <v>382917</v>
      </c>
    </row>
    <row r="103" spans="1:12" hidden="1" outlineLevel="2" x14ac:dyDescent="0.25">
      <c r="A103" s="2" t="s">
        <v>201</v>
      </c>
      <c r="B103" s="1" t="s">
        <v>202</v>
      </c>
      <c r="C103" s="6" t="s">
        <v>4</v>
      </c>
      <c r="D103" s="8"/>
      <c r="E103" s="2">
        <v>672605</v>
      </c>
    </row>
    <row r="104" spans="1:12" hidden="1" outlineLevel="2" x14ac:dyDescent="0.25">
      <c r="A104" s="2" t="s">
        <v>203</v>
      </c>
      <c r="B104" s="1" t="s">
        <v>204</v>
      </c>
      <c r="C104" s="6" t="s">
        <v>4</v>
      </c>
      <c r="D104" s="8"/>
      <c r="E104" s="2">
        <v>397092</v>
      </c>
    </row>
    <row r="105" spans="1:12" hidden="1" outlineLevel="2" x14ac:dyDescent="0.25">
      <c r="A105" s="2" t="s">
        <v>205</v>
      </c>
      <c r="B105" s="1" t="s">
        <v>206</v>
      </c>
      <c r="C105" s="6" t="s">
        <v>158</v>
      </c>
      <c r="D105" s="8" t="s">
        <v>207</v>
      </c>
      <c r="E105" s="2">
        <v>405890</v>
      </c>
    </row>
    <row r="106" spans="1:12" hidden="1" outlineLevel="2" x14ac:dyDescent="0.25">
      <c r="A106" s="2" t="s">
        <v>208</v>
      </c>
      <c r="B106" s="1" t="s">
        <v>209</v>
      </c>
      <c r="C106" s="6" t="s">
        <v>4</v>
      </c>
      <c r="D106" s="8"/>
      <c r="E106" s="2">
        <v>382610</v>
      </c>
    </row>
    <row r="107" spans="1:12" hidden="1" outlineLevel="2" x14ac:dyDescent="0.25">
      <c r="A107" s="2" t="s">
        <v>210</v>
      </c>
      <c r="B107" s="1" t="s">
        <v>211</v>
      </c>
      <c r="C107" s="6" t="s">
        <v>4</v>
      </c>
      <c r="D107" s="8"/>
      <c r="E107" s="2">
        <v>415282</v>
      </c>
    </row>
    <row r="108" spans="1:12" hidden="1" outlineLevel="2" x14ac:dyDescent="0.25">
      <c r="A108" s="2" t="s">
        <v>212</v>
      </c>
      <c r="B108" s="1" t="s">
        <v>213</v>
      </c>
      <c r="C108" s="6" t="s">
        <v>4</v>
      </c>
      <c r="D108" s="8"/>
      <c r="E108" s="2">
        <v>400601</v>
      </c>
    </row>
    <row r="109" spans="1:12" hidden="1" outlineLevel="2" x14ac:dyDescent="0.25">
      <c r="A109" s="2" t="s">
        <v>214</v>
      </c>
      <c r="B109" s="1" t="s">
        <v>215</v>
      </c>
      <c r="C109" s="6" t="s">
        <v>12</v>
      </c>
      <c r="D109" s="8"/>
      <c r="E109" s="2">
        <v>397308</v>
      </c>
    </row>
    <row r="110" spans="1:12" hidden="1" outlineLevel="2" x14ac:dyDescent="0.25">
      <c r="A110" s="2" t="s">
        <v>216</v>
      </c>
      <c r="B110" s="1" t="s">
        <v>217</v>
      </c>
      <c r="C110" s="6" t="s">
        <v>4</v>
      </c>
      <c r="D110" s="8"/>
      <c r="E110" s="2">
        <v>397308</v>
      </c>
    </row>
    <row r="111" spans="1:12" outlineLevel="2" x14ac:dyDescent="0.25">
      <c r="A111" s="6" t="s">
        <v>459</v>
      </c>
      <c r="B111" s="7"/>
      <c r="C111" s="6" t="s">
        <v>458</v>
      </c>
      <c r="D111" s="8"/>
      <c r="E111" s="15">
        <v>1568461</v>
      </c>
      <c r="F111" s="5"/>
      <c r="G111" s="5"/>
      <c r="H111" s="5"/>
      <c r="I111" s="5"/>
      <c r="J111" s="5"/>
      <c r="K111" s="5"/>
      <c r="L111" s="5"/>
    </row>
    <row r="112" spans="1:12" hidden="1" outlineLevel="2" x14ac:dyDescent="0.25">
      <c r="A112" s="2" t="s">
        <v>218</v>
      </c>
      <c r="B112" s="1" t="s">
        <v>219</v>
      </c>
      <c r="C112" s="6" t="s">
        <v>4</v>
      </c>
      <c r="D112" s="8"/>
      <c r="E112" s="2">
        <v>-234384</v>
      </c>
    </row>
    <row r="113" spans="1:12" hidden="1" outlineLevel="2" x14ac:dyDescent="0.25">
      <c r="A113" s="2" t="s">
        <v>220</v>
      </c>
      <c r="B113" s="1" t="s">
        <v>221</v>
      </c>
      <c r="C113" s="6" t="s">
        <v>4</v>
      </c>
      <c r="D113" s="8"/>
      <c r="E113" s="2">
        <v>397308</v>
      </c>
    </row>
    <row r="114" spans="1:12" outlineLevel="2" x14ac:dyDescent="0.25">
      <c r="A114" s="6" t="s">
        <v>222</v>
      </c>
      <c r="B114" s="7" t="s">
        <v>223</v>
      </c>
      <c r="C114" s="6" t="s">
        <v>460</v>
      </c>
      <c r="D114" s="8" t="s">
        <v>461</v>
      </c>
      <c r="E114" s="15">
        <v>2809719</v>
      </c>
      <c r="F114" s="5"/>
      <c r="G114" s="5"/>
      <c r="H114" s="5"/>
      <c r="I114" s="5"/>
      <c r="J114" s="5"/>
      <c r="K114" s="5"/>
      <c r="L114" s="5"/>
    </row>
    <row r="115" spans="1:12" hidden="1" outlineLevel="2" x14ac:dyDescent="0.25">
      <c r="A115" s="2" t="s">
        <v>224</v>
      </c>
      <c r="B115" s="1" t="s">
        <v>225</v>
      </c>
      <c r="C115" s="6" t="s">
        <v>4</v>
      </c>
      <c r="D115" s="8"/>
      <c r="E115" s="2">
        <v>-2</v>
      </c>
    </row>
    <row r="116" spans="1:12" hidden="1" outlineLevel="2" x14ac:dyDescent="0.25">
      <c r="A116" s="2" t="s">
        <v>226</v>
      </c>
      <c r="B116" s="1" t="s">
        <v>227</v>
      </c>
      <c r="C116" s="6" t="s">
        <v>4</v>
      </c>
      <c r="D116" s="8"/>
      <c r="E116" s="2">
        <v>405946</v>
      </c>
    </row>
    <row r="117" spans="1:12" outlineLevel="2" x14ac:dyDescent="0.25">
      <c r="A117" s="6" t="s">
        <v>228</v>
      </c>
      <c r="B117" s="7"/>
      <c r="C117" s="6"/>
      <c r="D117" s="8" t="s">
        <v>462</v>
      </c>
      <c r="E117" s="15">
        <v>1648489</v>
      </c>
      <c r="F117" s="5"/>
      <c r="G117" s="5"/>
      <c r="H117" s="5"/>
      <c r="I117" s="5"/>
      <c r="J117" s="5"/>
      <c r="K117" s="5"/>
      <c r="L117" s="5"/>
    </row>
    <row r="118" spans="1:12" hidden="1" outlineLevel="2" x14ac:dyDescent="0.25">
      <c r="A118" s="2" t="s">
        <v>229</v>
      </c>
      <c r="B118" s="1" t="s">
        <v>230</v>
      </c>
      <c r="C118" s="6" t="s">
        <v>29</v>
      </c>
      <c r="D118" s="8"/>
      <c r="E118" s="2">
        <v>758505</v>
      </c>
    </row>
    <row r="119" spans="1:12" outlineLevel="2" x14ac:dyDescent="0.25">
      <c r="A119" s="6" t="s">
        <v>231</v>
      </c>
      <c r="B119" s="7"/>
      <c r="C119" s="6" t="s">
        <v>463</v>
      </c>
      <c r="D119" s="8" t="s">
        <v>464</v>
      </c>
      <c r="E119" s="15">
        <v>2806688</v>
      </c>
      <c r="F119" s="5"/>
      <c r="G119" s="5"/>
      <c r="H119" s="5"/>
      <c r="I119" s="5"/>
      <c r="J119" s="5"/>
      <c r="K119" s="5"/>
      <c r="L119" s="5"/>
    </row>
    <row r="120" spans="1:12" outlineLevel="2" x14ac:dyDescent="0.25">
      <c r="A120" s="6" t="s">
        <v>232</v>
      </c>
      <c r="B120" s="7"/>
      <c r="C120" s="6" t="s">
        <v>465</v>
      </c>
      <c r="D120" s="8" t="s">
        <v>233</v>
      </c>
      <c r="E120" s="15">
        <v>6737962</v>
      </c>
      <c r="F120" s="5"/>
      <c r="G120" s="5"/>
      <c r="H120" s="5"/>
      <c r="I120" s="5"/>
      <c r="J120" s="5"/>
      <c r="K120" s="5"/>
      <c r="L120" s="5"/>
    </row>
    <row r="121" spans="1:12" hidden="1" outlineLevel="2" x14ac:dyDescent="0.25">
      <c r="A121" s="2" t="s">
        <v>234</v>
      </c>
      <c r="B121" s="1" t="s">
        <v>235</v>
      </c>
      <c r="C121" s="6" t="s">
        <v>4</v>
      </c>
      <c r="D121" s="8"/>
      <c r="E121" s="2">
        <v>764246</v>
      </c>
    </row>
    <row r="122" spans="1:12" hidden="1" outlineLevel="2" x14ac:dyDescent="0.25">
      <c r="A122" s="2" t="s">
        <v>237</v>
      </c>
      <c r="B122" s="1" t="s">
        <v>238</v>
      </c>
      <c r="C122" s="6" t="s">
        <v>4</v>
      </c>
      <c r="D122" s="8"/>
      <c r="E122" s="2">
        <v>382915</v>
      </c>
    </row>
    <row r="123" spans="1:12" hidden="1" outlineLevel="2" x14ac:dyDescent="0.25">
      <c r="A123" s="2" t="s">
        <v>239</v>
      </c>
      <c r="B123" s="1" t="s">
        <v>240</v>
      </c>
      <c r="C123" s="6" t="s">
        <v>4</v>
      </c>
      <c r="D123" s="8"/>
      <c r="E123" s="2">
        <v>397308</v>
      </c>
    </row>
    <row r="124" spans="1:12" hidden="1" outlineLevel="2" x14ac:dyDescent="0.25">
      <c r="A124" s="2" t="s">
        <v>241</v>
      </c>
      <c r="B124" s="1" t="s">
        <v>242</v>
      </c>
      <c r="C124" s="6" t="s">
        <v>4</v>
      </c>
      <c r="D124" s="8"/>
      <c r="E124" s="2">
        <v>382917</v>
      </c>
    </row>
    <row r="125" spans="1:12" outlineLevel="2" x14ac:dyDescent="0.25">
      <c r="A125" s="6" t="s">
        <v>467</v>
      </c>
      <c r="B125" s="7" t="s">
        <v>243</v>
      </c>
      <c r="C125" s="6"/>
      <c r="D125" s="8" t="s">
        <v>466</v>
      </c>
      <c r="E125" s="15">
        <v>2389997</v>
      </c>
      <c r="F125" s="5"/>
      <c r="G125" s="5"/>
      <c r="H125" s="5"/>
      <c r="I125" s="5"/>
      <c r="J125" s="5"/>
      <c r="K125" s="5"/>
      <c r="L125" s="5"/>
    </row>
    <row r="126" spans="1:12" hidden="1" outlineLevel="2" x14ac:dyDescent="0.25">
      <c r="A126" s="2" t="s">
        <v>244</v>
      </c>
      <c r="B126" s="1" t="s">
        <v>245</v>
      </c>
      <c r="C126" s="6" t="s">
        <v>4</v>
      </c>
      <c r="D126" s="8"/>
      <c r="E126" s="2">
        <v>397308</v>
      </c>
    </row>
    <row r="127" spans="1:12" hidden="1" outlineLevel="2" x14ac:dyDescent="0.25">
      <c r="A127" s="2" t="s">
        <v>246</v>
      </c>
      <c r="B127" s="1" t="s">
        <v>247</v>
      </c>
      <c r="C127" s="6" t="s">
        <v>4</v>
      </c>
      <c r="D127" s="8"/>
      <c r="E127" s="2">
        <v>18</v>
      </c>
    </row>
    <row r="128" spans="1:12" hidden="1" outlineLevel="2" x14ac:dyDescent="0.25">
      <c r="A128" s="2" t="s">
        <v>248</v>
      </c>
      <c r="B128" s="1" t="s">
        <v>249</v>
      </c>
      <c r="C128" s="6" t="s">
        <v>4</v>
      </c>
      <c r="D128" s="8"/>
      <c r="E128" s="2">
        <v>397569</v>
      </c>
    </row>
    <row r="129" spans="1:12" hidden="1" outlineLevel="2" x14ac:dyDescent="0.25">
      <c r="A129" s="2" t="s">
        <v>250</v>
      </c>
      <c r="B129" s="1" t="s">
        <v>251</v>
      </c>
      <c r="C129" s="6" t="s">
        <v>4</v>
      </c>
      <c r="D129" s="8"/>
      <c r="E129" s="2">
        <v>397308</v>
      </c>
    </row>
    <row r="130" spans="1:12" hidden="1" outlineLevel="2" x14ac:dyDescent="0.25">
      <c r="A130" s="2" t="s">
        <v>252</v>
      </c>
      <c r="B130" s="1" t="s">
        <v>253</v>
      </c>
      <c r="C130" s="6" t="s">
        <v>4</v>
      </c>
      <c r="D130" s="8"/>
      <c r="E130" s="2">
        <v>382917</v>
      </c>
    </row>
    <row r="131" spans="1:12" hidden="1" outlineLevel="2" x14ac:dyDescent="0.25">
      <c r="A131" s="2" t="s">
        <v>254</v>
      </c>
      <c r="B131" s="1" t="s">
        <v>255</v>
      </c>
      <c r="C131" s="6" t="s">
        <v>29</v>
      </c>
      <c r="D131" s="8"/>
      <c r="E131" s="2">
        <v>392428</v>
      </c>
    </row>
    <row r="132" spans="1:12" hidden="1" outlineLevel="2" x14ac:dyDescent="0.25">
      <c r="A132" s="2" t="s">
        <v>256</v>
      </c>
      <c r="B132" s="1" t="s">
        <v>257</v>
      </c>
      <c r="C132" s="6" t="s">
        <v>4</v>
      </c>
      <c r="D132" s="8"/>
      <c r="E132" s="2">
        <v>-6450</v>
      </c>
    </row>
    <row r="133" spans="1:12" hidden="1" outlineLevel="2" x14ac:dyDescent="0.25">
      <c r="A133" s="2" t="s">
        <v>258</v>
      </c>
      <c r="B133" s="1" t="s">
        <v>259</v>
      </c>
      <c r="C133" s="6" t="s">
        <v>4</v>
      </c>
      <c r="D133" s="8"/>
      <c r="E133" s="2">
        <v>-21882</v>
      </c>
    </row>
    <row r="134" spans="1:12" hidden="1" outlineLevel="2" x14ac:dyDescent="0.25">
      <c r="A134" s="2" t="s">
        <v>260</v>
      </c>
      <c r="B134" s="1" t="s">
        <v>261</v>
      </c>
      <c r="C134" s="6" t="s">
        <v>4</v>
      </c>
      <c r="D134" s="8"/>
      <c r="E134" s="2">
        <v>2</v>
      </c>
    </row>
    <row r="135" spans="1:12" hidden="1" outlineLevel="2" x14ac:dyDescent="0.25">
      <c r="A135" s="2" t="s">
        <v>262</v>
      </c>
      <c r="B135" s="1" t="s">
        <v>263</v>
      </c>
      <c r="C135" s="6" t="s">
        <v>4</v>
      </c>
      <c r="D135" s="8"/>
      <c r="E135" s="2">
        <v>405890</v>
      </c>
    </row>
    <row r="136" spans="1:12" outlineLevel="2" x14ac:dyDescent="0.25">
      <c r="A136" s="6" t="s">
        <v>264</v>
      </c>
      <c r="B136" s="7"/>
      <c r="C136" s="6" t="s">
        <v>469</v>
      </c>
      <c r="D136" s="8" t="s">
        <v>468</v>
      </c>
      <c r="E136" s="15">
        <v>8985739</v>
      </c>
      <c r="F136" s="5"/>
      <c r="G136" s="5"/>
      <c r="H136" s="5"/>
      <c r="I136" s="5"/>
      <c r="J136" s="5"/>
      <c r="K136" s="5"/>
      <c r="L136" s="5"/>
    </row>
    <row r="137" spans="1:12" hidden="1" outlineLevel="2" x14ac:dyDescent="0.25">
      <c r="A137" s="2" t="s">
        <v>265</v>
      </c>
      <c r="B137" s="1" t="s">
        <v>266</v>
      </c>
      <c r="C137" s="6" t="s">
        <v>12</v>
      </c>
      <c r="D137" s="8" t="s">
        <v>21</v>
      </c>
      <c r="E137" s="2">
        <v>382917</v>
      </c>
    </row>
    <row r="138" spans="1:12" hidden="1" outlineLevel="2" x14ac:dyDescent="0.25">
      <c r="A138" s="2" t="s">
        <v>267</v>
      </c>
      <c r="B138" s="1" t="s">
        <v>268</v>
      </c>
      <c r="C138" s="6" t="s">
        <v>29</v>
      </c>
      <c r="D138" s="8"/>
      <c r="E138" s="2">
        <v>220794</v>
      </c>
    </row>
    <row r="139" spans="1:12" outlineLevel="2" x14ac:dyDescent="0.25">
      <c r="A139" s="6" t="s">
        <v>269</v>
      </c>
      <c r="B139" s="7" t="s">
        <v>270</v>
      </c>
      <c r="C139" s="6" t="s">
        <v>471</v>
      </c>
      <c r="D139" s="8" t="s">
        <v>470</v>
      </c>
      <c r="E139" s="15">
        <v>1279537</v>
      </c>
      <c r="F139" s="5"/>
      <c r="G139" s="5"/>
      <c r="H139" s="5"/>
      <c r="I139" s="5"/>
      <c r="J139" s="5"/>
      <c r="K139" s="5"/>
      <c r="L139" s="5"/>
    </row>
    <row r="140" spans="1:12" hidden="1" outlineLevel="2" x14ac:dyDescent="0.25">
      <c r="A140" s="2" t="s">
        <v>271</v>
      </c>
      <c r="B140" s="1" t="s">
        <v>272</v>
      </c>
      <c r="C140" s="6" t="s">
        <v>4</v>
      </c>
      <c r="D140" s="8"/>
      <c r="E140" s="2">
        <v>382917</v>
      </c>
    </row>
    <row r="141" spans="1:12" outlineLevel="2" x14ac:dyDescent="0.25">
      <c r="A141" s="6" t="s">
        <v>273</v>
      </c>
      <c r="B141" s="7" t="s">
        <v>472</v>
      </c>
      <c r="C141" s="6" t="s">
        <v>473</v>
      </c>
      <c r="D141" s="8" t="s">
        <v>474</v>
      </c>
      <c r="E141" s="15">
        <v>3062820</v>
      </c>
      <c r="F141" s="5"/>
      <c r="G141" s="5"/>
      <c r="H141" s="5"/>
      <c r="I141" s="5"/>
      <c r="J141" s="5"/>
      <c r="K141" s="5"/>
      <c r="L141" s="5"/>
    </row>
    <row r="142" spans="1:12" hidden="1" outlineLevel="2" x14ac:dyDescent="0.25">
      <c r="A142" s="2" t="s">
        <v>274</v>
      </c>
      <c r="B142" s="1" t="s">
        <v>275</v>
      </c>
      <c r="C142" s="6" t="s">
        <v>12</v>
      </c>
      <c r="D142" s="8" t="s">
        <v>21</v>
      </c>
      <c r="E142" s="2">
        <v>405890</v>
      </c>
    </row>
    <row r="143" spans="1:12" hidden="1" outlineLevel="2" x14ac:dyDescent="0.25">
      <c r="A143" s="2" t="s">
        <v>276</v>
      </c>
      <c r="B143" s="1" t="s">
        <v>277</v>
      </c>
      <c r="C143" s="6" t="s">
        <v>4</v>
      </c>
      <c r="D143" s="8"/>
      <c r="E143" s="2">
        <v>397308</v>
      </c>
    </row>
    <row r="144" spans="1:12" hidden="1" outlineLevel="2" x14ac:dyDescent="0.25">
      <c r="A144" s="2" t="s">
        <v>278</v>
      </c>
      <c r="B144" s="1" t="s">
        <v>279</v>
      </c>
      <c r="C144" s="6" t="s">
        <v>4</v>
      </c>
      <c r="D144" s="8"/>
      <c r="E144" s="2">
        <v>382917</v>
      </c>
    </row>
    <row r="145" spans="1:12" outlineLevel="2" x14ac:dyDescent="0.25">
      <c r="A145" s="6" t="s">
        <v>280</v>
      </c>
      <c r="B145" s="7"/>
      <c r="C145" s="6" t="s">
        <v>281</v>
      </c>
      <c r="D145" s="8" t="s">
        <v>475</v>
      </c>
      <c r="E145" s="15">
        <v>2322894</v>
      </c>
      <c r="F145" s="5"/>
      <c r="G145" s="5"/>
      <c r="H145" s="5"/>
      <c r="I145" s="5"/>
      <c r="J145" s="5"/>
      <c r="K145" s="5"/>
      <c r="L145" s="5"/>
    </row>
    <row r="146" spans="1:12" hidden="1" outlineLevel="2" x14ac:dyDescent="0.25">
      <c r="A146" s="2" t="s">
        <v>282</v>
      </c>
      <c r="B146" s="1" t="s">
        <v>283</v>
      </c>
      <c r="C146" s="6" t="s">
        <v>4</v>
      </c>
      <c r="D146" s="8"/>
      <c r="E146" s="2">
        <v>397308</v>
      </c>
    </row>
    <row r="147" spans="1:12" hidden="1" outlineLevel="2" x14ac:dyDescent="0.25">
      <c r="A147" s="2" t="s">
        <v>284</v>
      </c>
      <c r="B147" s="1" t="s">
        <v>285</v>
      </c>
      <c r="C147" s="6" t="s">
        <v>4</v>
      </c>
      <c r="D147" s="8"/>
      <c r="E147" s="2">
        <v>397308</v>
      </c>
    </row>
    <row r="148" spans="1:12" hidden="1" outlineLevel="2" x14ac:dyDescent="0.25">
      <c r="A148" s="2" t="s">
        <v>286</v>
      </c>
      <c r="B148" s="1" t="s">
        <v>287</v>
      </c>
      <c r="C148" s="6" t="s">
        <v>4</v>
      </c>
      <c r="D148" s="8"/>
      <c r="E148" s="2">
        <v>773276</v>
      </c>
    </row>
    <row r="149" spans="1:12" hidden="1" outlineLevel="2" x14ac:dyDescent="0.25">
      <c r="A149" s="2" t="s">
        <v>288</v>
      </c>
      <c r="B149" s="1" t="s">
        <v>289</v>
      </c>
      <c r="C149" s="6" t="s">
        <v>12</v>
      </c>
      <c r="D149" s="8" t="s">
        <v>21</v>
      </c>
      <c r="E149" s="2">
        <v>711494</v>
      </c>
    </row>
    <row r="150" spans="1:12" hidden="1" outlineLevel="2" x14ac:dyDescent="0.25">
      <c r="A150" s="2" t="s">
        <v>290</v>
      </c>
      <c r="B150" s="1" t="s">
        <v>291</v>
      </c>
      <c r="C150" s="6" t="s">
        <v>29</v>
      </c>
      <c r="D150" s="8"/>
      <c r="E150" s="2">
        <v>15402</v>
      </c>
    </row>
    <row r="151" spans="1:12" hidden="1" outlineLevel="2" x14ac:dyDescent="0.25">
      <c r="A151" s="2" t="s">
        <v>292</v>
      </c>
      <c r="B151" s="1" t="s">
        <v>293</v>
      </c>
      <c r="C151" s="6" t="s">
        <v>4</v>
      </c>
      <c r="D151" s="8"/>
      <c r="E151" s="2">
        <v>609803</v>
      </c>
    </row>
    <row r="152" spans="1:12" hidden="1" outlineLevel="2" x14ac:dyDescent="0.25">
      <c r="A152" s="2" t="s">
        <v>294</v>
      </c>
      <c r="B152" s="1" t="s">
        <v>295</v>
      </c>
      <c r="C152" s="6" t="s">
        <v>4</v>
      </c>
      <c r="D152" s="8"/>
      <c r="E152" s="2">
        <v>318177</v>
      </c>
    </row>
    <row r="153" spans="1:12" hidden="1" outlineLevel="2" x14ac:dyDescent="0.25">
      <c r="A153" s="2" t="s">
        <v>296</v>
      </c>
      <c r="B153" s="1" t="s">
        <v>297</v>
      </c>
      <c r="C153" s="6" t="s">
        <v>29</v>
      </c>
      <c r="D153" s="8"/>
      <c r="E153" s="2">
        <v>367367</v>
      </c>
    </row>
    <row r="154" spans="1:12" hidden="1" outlineLevel="2" x14ac:dyDescent="0.25">
      <c r="A154" s="2" t="s">
        <v>298</v>
      </c>
      <c r="B154" s="1" t="s">
        <v>299</v>
      </c>
      <c r="C154" s="6" t="s">
        <v>29</v>
      </c>
      <c r="D154" s="8" t="s">
        <v>300</v>
      </c>
      <c r="E154" s="2">
        <v>31469</v>
      </c>
    </row>
    <row r="155" spans="1:12" hidden="1" outlineLevel="2" x14ac:dyDescent="0.25">
      <c r="A155" s="2" t="s">
        <v>301</v>
      </c>
      <c r="B155" s="1" t="s">
        <v>302</v>
      </c>
      <c r="C155" s="6" t="s">
        <v>4</v>
      </c>
      <c r="D155" s="8"/>
      <c r="E155" s="2">
        <v>366097</v>
      </c>
    </row>
    <row r="156" spans="1:12" hidden="1" outlineLevel="2" x14ac:dyDescent="0.25">
      <c r="A156" s="2" t="s">
        <v>303</v>
      </c>
      <c r="B156" s="1" t="s">
        <v>304</v>
      </c>
      <c r="C156" s="6" t="s">
        <v>4</v>
      </c>
      <c r="D156" s="8"/>
      <c r="E156" s="2">
        <v>321181</v>
      </c>
    </row>
    <row r="157" spans="1:12" hidden="1" outlineLevel="2" x14ac:dyDescent="0.25">
      <c r="A157" s="2" t="s">
        <v>305</v>
      </c>
      <c r="B157" s="1" t="s">
        <v>306</v>
      </c>
      <c r="C157" s="6" t="s">
        <v>4</v>
      </c>
      <c r="D157" s="8"/>
      <c r="E157" s="2">
        <v>322295</v>
      </c>
    </row>
    <row r="158" spans="1:12" hidden="1" outlineLevel="2" x14ac:dyDescent="0.25">
      <c r="A158" s="2" t="s">
        <v>307</v>
      </c>
      <c r="B158" s="1" t="s">
        <v>308</v>
      </c>
      <c r="C158" s="6" t="s">
        <v>158</v>
      </c>
      <c r="D158" s="8"/>
      <c r="E158" s="2">
        <v>301514</v>
      </c>
    </row>
    <row r="159" spans="1:12" hidden="1" outlineLevel="2" x14ac:dyDescent="0.25">
      <c r="A159" s="2" t="s">
        <v>309</v>
      </c>
      <c r="B159" s="1" t="s">
        <v>310</v>
      </c>
      <c r="C159" s="6" t="s">
        <v>12</v>
      </c>
      <c r="D159" s="8" t="s">
        <v>311</v>
      </c>
      <c r="E159" s="2">
        <v>-8</v>
      </c>
    </row>
    <row r="160" spans="1:12" hidden="1" outlineLevel="2" x14ac:dyDescent="0.25">
      <c r="A160" s="2" t="s">
        <v>312</v>
      </c>
      <c r="B160" s="1" t="s">
        <v>313</v>
      </c>
      <c r="C160" s="6" t="s">
        <v>4</v>
      </c>
      <c r="D160" s="8"/>
      <c r="E160" s="2">
        <v>321179</v>
      </c>
    </row>
    <row r="161" spans="1:12" hidden="1" outlineLevel="2" x14ac:dyDescent="0.25">
      <c r="A161" s="2" t="s">
        <v>314</v>
      </c>
      <c r="B161" s="1" t="s">
        <v>315</v>
      </c>
      <c r="C161" s="6" t="s">
        <v>29</v>
      </c>
      <c r="D161" s="8" t="s">
        <v>316</v>
      </c>
      <c r="E161" s="2">
        <v>649295</v>
      </c>
    </row>
    <row r="162" spans="1:12" hidden="1" outlineLevel="2" x14ac:dyDescent="0.25">
      <c r="A162" s="2" t="s">
        <v>317</v>
      </c>
      <c r="B162" s="1" t="s">
        <v>318</v>
      </c>
      <c r="C162" s="6" t="s">
        <v>29</v>
      </c>
      <c r="D162" s="8" t="s">
        <v>319</v>
      </c>
      <c r="E162" s="2">
        <v>-646015</v>
      </c>
    </row>
    <row r="163" spans="1:12" hidden="1" outlineLevel="2" x14ac:dyDescent="0.25">
      <c r="A163" s="2" t="s">
        <v>320</v>
      </c>
      <c r="B163" s="1" t="s">
        <v>321</v>
      </c>
      <c r="C163" s="6" t="s">
        <v>322</v>
      </c>
      <c r="D163" s="8"/>
      <c r="E163" s="2">
        <v>351946</v>
      </c>
    </row>
    <row r="164" spans="1:12" hidden="1" outlineLevel="2" x14ac:dyDescent="0.25">
      <c r="A164" s="2" t="s">
        <v>323</v>
      </c>
      <c r="B164" s="1" t="s">
        <v>324</v>
      </c>
      <c r="C164" s="6" t="s">
        <v>4</v>
      </c>
      <c r="D164" s="8" t="s">
        <v>325</v>
      </c>
      <c r="E164" s="2">
        <v>321179</v>
      </c>
    </row>
    <row r="165" spans="1:12" hidden="1" outlineLevel="2" x14ac:dyDescent="0.25">
      <c r="A165" s="2" t="s">
        <v>326</v>
      </c>
      <c r="B165" s="1" t="s">
        <v>327</v>
      </c>
      <c r="C165" s="6" t="s">
        <v>29</v>
      </c>
      <c r="D165" s="8"/>
      <c r="E165" s="2">
        <v>320358</v>
      </c>
    </row>
    <row r="166" spans="1:12" hidden="1" outlineLevel="2" x14ac:dyDescent="0.25">
      <c r="A166" s="2" t="s">
        <v>328</v>
      </c>
      <c r="B166" s="1" t="s">
        <v>329</v>
      </c>
      <c r="C166" s="6" t="s">
        <v>4</v>
      </c>
      <c r="D166" s="8"/>
      <c r="E166" s="2">
        <v>329985</v>
      </c>
    </row>
    <row r="167" spans="1:12" hidden="1" outlineLevel="2" x14ac:dyDescent="0.25">
      <c r="A167" s="2" t="s">
        <v>330</v>
      </c>
      <c r="B167" s="1" t="s">
        <v>331</v>
      </c>
      <c r="C167" s="6" t="s">
        <v>158</v>
      </c>
      <c r="D167" s="8" t="s">
        <v>332</v>
      </c>
      <c r="E167" s="2">
        <v>351946</v>
      </c>
    </row>
    <row r="168" spans="1:12" hidden="1" outlineLevel="2" x14ac:dyDescent="0.25">
      <c r="A168" s="2" t="s">
        <v>333</v>
      </c>
      <c r="B168" s="1" t="s">
        <v>334</v>
      </c>
      <c r="C168" s="6" t="s">
        <v>335</v>
      </c>
      <c r="D168" s="8"/>
      <c r="E168" s="2">
        <v>321179</v>
      </c>
    </row>
    <row r="169" spans="1:12" hidden="1" outlineLevel="2" x14ac:dyDescent="0.25">
      <c r="A169" s="2" t="s">
        <v>336</v>
      </c>
      <c r="B169" s="1" t="s">
        <v>337</v>
      </c>
      <c r="C169" s="6" t="s">
        <v>12</v>
      </c>
      <c r="D169" s="8" t="s">
        <v>21</v>
      </c>
      <c r="E169" s="2">
        <v>304798</v>
      </c>
    </row>
    <row r="170" spans="1:12" outlineLevel="2" x14ac:dyDescent="0.25">
      <c r="A170" s="6" t="s">
        <v>476</v>
      </c>
      <c r="B170" s="7"/>
      <c r="C170" s="6" t="s">
        <v>478</v>
      </c>
      <c r="D170" s="8" t="s">
        <v>477</v>
      </c>
      <c r="E170" s="15">
        <v>1048291</v>
      </c>
      <c r="F170" s="5"/>
      <c r="G170" s="5"/>
      <c r="H170" s="5"/>
      <c r="I170" s="5"/>
      <c r="J170" s="5"/>
      <c r="K170" s="5"/>
      <c r="L170" s="5"/>
    </row>
    <row r="171" spans="1:12" hidden="1" outlineLevel="2" x14ac:dyDescent="0.25">
      <c r="A171" s="2" t="s">
        <v>338</v>
      </c>
      <c r="B171" s="1" t="s">
        <v>339</v>
      </c>
      <c r="C171" s="6" t="s">
        <v>4</v>
      </c>
      <c r="D171" s="8"/>
      <c r="E171" s="2">
        <v>781642</v>
      </c>
    </row>
    <row r="172" spans="1:12" hidden="1" outlineLevel="2" x14ac:dyDescent="0.25">
      <c r="A172" s="2" t="s">
        <v>340</v>
      </c>
      <c r="B172" s="1" t="s">
        <v>341</v>
      </c>
      <c r="C172" s="6" t="s">
        <v>4</v>
      </c>
      <c r="D172" s="8"/>
      <c r="E172" s="2">
        <v>687842</v>
      </c>
    </row>
    <row r="173" spans="1:12" hidden="1" outlineLevel="2" x14ac:dyDescent="0.25">
      <c r="A173" s="2" t="s">
        <v>342</v>
      </c>
      <c r="B173" s="1" t="s">
        <v>343</v>
      </c>
      <c r="C173" s="6" t="s">
        <v>29</v>
      </c>
      <c r="D173" s="8" t="s">
        <v>344</v>
      </c>
      <c r="E173" s="2">
        <v>351514</v>
      </c>
    </row>
    <row r="174" spans="1:12" hidden="1" outlineLevel="2" x14ac:dyDescent="0.25">
      <c r="A174" s="2" t="s">
        <v>345</v>
      </c>
      <c r="B174" s="1" t="s">
        <v>346</v>
      </c>
      <c r="C174" s="6" t="s">
        <v>4</v>
      </c>
      <c r="D174" s="8" t="s">
        <v>347</v>
      </c>
      <c r="E174" s="2">
        <v>389304</v>
      </c>
    </row>
    <row r="175" spans="1:12" hidden="1" outlineLevel="2" x14ac:dyDescent="0.25">
      <c r="A175" s="2" t="s">
        <v>348</v>
      </c>
      <c r="B175" s="1" t="s">
        <v>349</v>
      </c>
      <c r="C175" s="6" t="s">
        <v>4</v>
      </c>
      <c r="D175" s="8"/>
      <c r="E175" s="2">
        <v>321179</v>
      </c>
    </row>
    <row r="176" spans="1:12" hidden="1" outlineLevel="2" x14ac:dyDescent="0.25">
      <c r="A176" s="2" t="s">
        <v>350</v>
      </c>
      <c r="B176" s="1" t="s">
        <v>351</v>
      </c>
      <c r="C176" s="6" t="s">
        <v>352</v>
      </c>
      <c r="D176" s="8" t="s">
        <v>353</v>
      </c>
      <c r="E176" s="2">
        <v>458098</v>
      </c>
    </row>
    <row r="177" spans="1:12" hidden="1" outlineLevel="2" x14ac:dyDescent="0.25">
      <c r="A177" s="2" t="s">
        <v>354</v>
      </c>
      <c r="B177" s="1" t="s">
        <v>355</v>
      </c>
      <c r="C177" s="6" t="s">
        <v>356</v>
      </c>
      <c r="D177" s="8"/>
      <c r="E177" s="2">
        <v>792535</v>
      </c>
    </row>
    <row r="178" spans="1:12" outlineLevel="2" x14ac:dyDescent="0.25">
      <c r="A178" s="6" t="s">
        <v>357</v>
      </c>
      <c r="B178" s="7"/>
      <c r="C178" s="6" t="s">
        <v>479</v>
      </c>
      <c r="D178" s="8" t="s">
        <v>358</v>
      </c>
      <c r="E178" s="15">
        <v>2155834</v>
      </c>
      <c r="F178" s="5"/>
      <c r="G178" s="5"/>
      <c r="H178" s="5"/>
      <c r="I178" s="5"/>
      <c r="J178" s="5"/>
      <c r="K178" s="5"/>
      <c r="L178" s="5"/>
    </row>
    <row r="179" spans="1:12" hidden="1" outlineLevel="2" x14ac:dyDescent="0.25">
      <c r="A179" s="2" t="s">
        <v>359</v>
      </c>
      <c r="B179" s="1" t="s">
        <v>360</v>
      </c>
      <c r="C179" s="6" t="s">
        <v>4</v>
      </c>
      <c r="D179" s="8"/>
      <c r="E179" s="2">
        <v>506377</v>
      </c>
    </row>
    <row r="180" spans="1:12" hidden="1" outlineLevel="2" x14ac:dyDescent="0.25">
      <c r="A180" s="2" t="s">
        <v>361</v>
      </c>
      <c r="B180" s="1" t="s">
        <v>362</v>
      </c>
      <c r="C180" s="6" t="s">
        <v>29</v>
      </c>
      <c r="D180" s="8"/>
      <c r="E180" s="2">
        <v>727878</v>
      </c>
    </row>
    <row r="181" spans="1:12" hidden="1" outlineLevel="2" x14ac:dyDescent="0.25">
      <c r="A181" s="2" t="s">
        <v>363</v>
      </c>
      <c r="B181" s="1" t="s">
        <v>364</v>
      </c>
      <c r="C181" s="6" t="s">
        <v>4</v>
      </c>
      <c r="D181" s="8"/>
      <c r="E181" s="2">
        <v>328853</v>
      </c>
    </row>
    <row r="182" spans="1:12" outlineLevel="2" x14ac:dyDescent="0.25">
      <c r="A182" s="6" t="s">
        <v>365</v>
      </c>
      <c r="B182" s="7"/>
      <c r="C182" s="6"/>
      <c r="D182" s="8" t="s">
        <v>480</v>
      </c>
      <c r="E182" s="15">
        <v>1617260</v>
      </c>
      <c r="F182" s="5"/>
      <c r="G182" s="5"/>
      <c r="H182" s="5"/>
      <c r="I182" s="5"/>
      <c r="J182" s="5"/>
      <c r="K182" s="5"/>
      <c r="L182" s="5"/>
    </row>
    <row r="183" spans="1:12" outlineLevel="2" x14ac:dyDescent="0.25">
      <c r="A183" s="6" t="s">
        <v>366</v>
      </c>
      <c r="B183" s="7" t="s">
        <v>367</v>
      </c>
      <c r="C183" s="6" t="s">
        <v>482</v>
      </c>
      <c r="D183" s="8" t="s">
        <v>481</v>
      </c>
      <c r="E183" s="15">
        <v>985962</v>
      </c>
      <c r="F183" s="5"/>
      <c r="G183" s="5"/>
      <c r="H183" s="5"/>
      <c r="I183" s="5"/>
      <c r="J183" s="5"/>
      <c r="K183" s="5"/>
      <c r="L183" s="5"/>
    </row>
    <row r="184" spans="1:12" hidden="1" outlineLevel="2" x14ac:dyDescent="0.25">
      <c r="A184" s="2" t="s">
        <v>368</v>
      </c>
      <c r="B184" s="1" t="s">
        <v>369</v>
      </c>
      <c r="C184" s="6" t="s">
        <v>370</v>
      </c>
      <c r="D184" s="8"/>
      <c r="E184" s="2">
        <v>351838</v>
      </c>
    </row>
    <row r="185" spans="1:12" hidden="1" outlineLevel="2" x14ac:dyDescent="0.25">
      <c r="A185" s="2" t="s">
        <v>371</v>
      </c>
      <c r="B185" s="1" t="s">
        <v>372</v>
      </c>
      <c r="C185" s="6"/>
      <c r="D185" s="8"/>
      <c r="E185" s="2">
        <v>328116</v>
      </c>
    </row>
    <row r="186" spans="1:12" outlineLevel="2" x14ac:dyDescent="0.25">
      <c r="A186" s="6" t="s">
        <v>373</v>
      </c>
      <c r="B186" s="7"/>
      <c r="C186" s="6" t="s">
        <v>484</v>
      </c>
      <c r="D186" s="8" t="s">
        <v>483</v>
      </c>
      <c r="E186" s="15">
        <v>11552264</v>
      </c>
      <c r="F186" s="5"/>
      <c r="G186" s="5"/>
      <c r="H186" s="5"/>
      <c r="I186" s="5"/>
      <c r="J186" s="5"/>
      <c r="K186" s="5"/>
      <c r="L186" s="5"/>
    </row>
    <row r="187" spans="1:12" hidden="1" outlineLevel="2" x14ac:dyDescent="0.25">
      <c r="A187" s="2" t="s">
        <v>374</v>
      </c>
      <c r="B187" s="1" t="s">
        <v>375</v>
      </c>
      <c r="C187" s="6" t="s">
        <v>158</v>
      </c>
      <c r="D187" s="8"/>
      <c r="E187" s="2">
        <v>351946</v>
      </c>
    </row>
    <row r="188" spans="1:12" hidden="1" outlineLevel="2" x14ac:dyDescent="0.25">
      <c r="A188" s="2" t="s">
        <v>376</v>
      </c>
      <c r="B188" s="1" t="s">
        <v>377</v>
      </c>
      <c r="C188" s="6" t="s">
        <v>12</v>
      </c>
      <c r="D188" s="8" t="s">
        <v>378</v>
      </c>
      <c r="E188" s="2">
        <v>328853</v>
      </c>
    </row>
    <row r="189" spans="1:12" outlineLevel="2" x14ac:dyDescent="0.25">
      <c r="A189" s="6" t="s">
        <v>379</v>
      </c>
      <c r="B189" s="7"/>
      <c r="C189" s="6"/>
      <c r="D189" s="8" t="s">
        <v>485</v>
      </c>
      <c r="E189" s="15">
        <v>9003694</v>
      </c>
      <c r="F189" s="5"/>
      <c r="G189" s="5"/>
      <c r="H189" s="5"/>
      <c r="I189" s="5"/>
      <c r="J189" s="5"/>
      <c r="K189" s="5"/>
      <c r="L189" s="5"/>
    </row>
    <row r="190" spans="1:12" outlineLevel="2" x14ac:dyDescent="0.25">
      <c r="A190" s="6" t="s">
        <v>380</v>
      </c>
      <c r="B190" s="7">
        <v>1047408360</v>
      </c>
      <c r="C190" s="6" t="s">
        <v>487</v>
      </c>
      <c r="D190" s="8" t="s">
        <v>486</v>
      </c>
      <c r="E190" s="15">
        <v>15043259</v>
      </c>
      <c r="F190" s="5"/>
      <c r="G190" s="5"/>
      <c r="H190" s="5"/>
      <c r="I190" s="5"/>
      <c r="J190" s="5"/>
      <c r="K190" s="5"/>
      <c r="L190" s="5"/>
    </row>
    <row r="191" spans="1:12" hidden="1" outlineLevel="2" x14ac:dyDescent="0.25">
      <c r="A191" s="2" t="s">
        <v>381</v>
      </c>
      <c r="B191" s="1" t="s">
        <v>382</v>
      </c>
      <c r="C191" s="6" t="s">
        <v>236</v>
      </c>
      <c r="D191" s="8"/>
      <c r="E191" s="2">
        <v>779106</v>
      </c>
    </row>
    <row r="192" spans="1:12" hidden="1" outlineLevel="2" x14ac:dyDescent="0.25">
      <c r="A192" s="2" t="s">
        <v>383</v>
      </c>
      <c r="B192" s="1" t="s">
        <v>384</v>
      </c>
      <c r="C192" s="6" t="s">
        <v>4</v>
      </c>
      <c r="D192" s="8"/>
      <c r="E192" s="2">
        <v>293873</v>
      </c>
    </row>
    <row r="193" spans="1:12" hidden="1" outlineLevel="2" x14ac:dyDescent="0.25">
      <c r="A193" s="2" t="s">
        <v>385</v>
      </c>
      <c r="B193" s="1" t="s">
        <v>386</v>
      </c>
      <c r="C193" s="6" t="s">
        <v>4</v>
      </c>
      <c r="D193" s="8"/>
      <c r="E193" s="2">
        <v>105414</v>
      </c>
    </row>
    <row r="194" spans="1:12" hidden="1" outlineLevel="2" x14ac:dyDescent="0.25">
      <c r="A194" s="2" t="s">
        <v>387</v>
      </c>
      <c r="B194" s="1" t="s">
        <v>388</v>
      </c>
      <c r="C194" s="6" t="s">
        <v>29</v>
      </c>
      <c r="D194" s="8" t="s">
        <v>389</v>
      </c>
      <c r="E194" s="2">
        <v>351838</v>
      </c>
    </row>
    <row r="195" spans="1:12" hidden="1" outlineLevel="2" x14ac:dyDescent="0.25">
      <c r="A195" s="2" t="s">
        <v>390</v>
      </c>
      <c r="B195" s="1" t="s">
        <v>391</v>
      </c>
      <c r="C195" s="6" t="s">
        <v>158</v>
      </c>
      <c r="D195" s="8"/>
      <c r="E195" s="2">
        <v>320214</v>
      </c>
    </row>
    <row r="196" spans="1:12" hidden="1" outlineLevel="2" x14ac:dyDescent="0.25">
      <c r="A196" s="2" t="s">
        <v>392</v>
      </c>
      <c r="B196" s="1" t="s">
        <v>393</v>
      </c>
      <c r="C196" s="6" t="s">
        <v>4</v>
      </c>
      <c r="D196" s="8"/>
      <c r="E196" s="2">
        <v>351946</v>
      </c>
    </row>
    <row r="197" spans="1:12" hidden="1" outlineLevel="2" x14ac:dyDescent="0.25">
      <c r="A197" s="2" t="s">
        <v>394</v>
      </c>
      <c r="B197" s="1" t="s">
        <v>395</v>
      </c>
      <c r="C197" s="6" t="s">
        <v>158</v>
      </c>
      <c r="D197" s="8" t="s">
        <v>396</v>
      </c>
      <c r="E197" s="2">
        <v>-6185</v>
      </c>
    </row>
    <row r="198" spans="1:12" hidden="1" outlineLevel="2" x14ac:dyDescent="0.25">
      <c r="A198" s="2" t="s">
        <v>397</v>
      </c>
      <c r="B198" s="1" t="s">
        <v>398</v>
      </c>
      <c r="C198" s="6" t="s">
        <v>158</v>
      </c>
      <c r="D198" s="8"/>
      <c r="E198" s="2">
        <v>-1043</v>
      </c>
    </row>
    <row r="199" spans="1:12" hidden="1" outlineLevel="2" x14ac:dyDescent="0.25">
      <c r="A199" s="2" t="s">
        <v>399</v>
      </c>
      <c r="B199" s="1" t="s">
        <v>400</v>
      </c>
      <c r="C199" s="6" t="s">
        <v>4</v>
      </c>
      <c r="D199" s="8"/>
      <c r="E199" s="2">
        <v>772359</v>
      </c>
    </row>
    <row r="200" spans="1:12" hidden="1" outlineLevel="2" x14ac:dyDescent="0.25">
      <c r="A200" s="2" t="s">
        <v>401</v>
      </c>
      <c r="B200" s="1" t="s">
        <v>402</v>
      </c>
      <c r="C200" s="6" t="s">
        <v>4</v>
      </c>
      <c r="D200" s="8"/>
      <c r="E200" s="2">
        <v>353934</v>
      </c>
    </row>
    <row r="201" spans="1:12" hidden="1" outlineLevel="2" x14ac:dyDescent="0.25">
      <c r="A201" s="2" t="s">
        <v>403</v>
      </c>
      <c r="B201" s="1" t="s">
        <v>404</v>
      </c>
      <c r="C201" s="6" t="s">
        <v>4</v>
      </c>
      <c r="D201" s="8"/>
      <c r="E201" s="2">
        <v>320994</v>
      </c>
    </row>
    <row r="202" spans="1:12" outlineLevel="2" x14ac:dyDescent="0.25">
      <c r="A202" s="6" t="s">
        <v>405</v>
      </c>
      <c r="B202" s="7"/>
      <c r="C202" s="6" t="s">
        <v>488</v>
      </c>
      <c r="D202" s="8" t="s">
        <v>489</v>
      </c>
      <c r="E202" s="15">
        <v>1316065</v>
      </c>
      <c r="F202" s="5"/>
      <c r="G202" s="5"/>
      <c r="H202" s="5"/>
      <c r="I202" s="5"/>
      <c r="J202" s="5"/>
      <c r="K202" s="5"/>
      <c r="L202" s="5"/>
    </row>
    <row r="203" spans="1:12" hidden="1" outlineLevel="2" x14ac:dyDescent="0.25">
      <c r="A203" s="2" t="s">
        <v>406</v>
      </c>
      <c r="B203" s="1" t="s">
        <v>407</v>
      </c>
      <c r="C203" s="2" t="s">
        <v>193</v>
      </c>
      <c r="E203" s="2">
        <v>351946</v>
      </c>
    </row>
    <row r="204" spans="1:12" hidden="1" outlineLevel="2" x14ac:dyDescent="0.25">
      <c r="A204" s="2" t="s">
        <v>408</v>
      </c>
      <c r="B204" s="1" t="s">
        <v>409</v>
      </c>
      <c r="C204" s="2" t="s">
        <v>4</v>
      </c>
      <c r="D204" s="3" t="s">
        <v>21</v>
      </c>
      <c r="E204" s="2">
        <v>321179</v>
      </c>
    </row>
    <row r="205" spans="1:12" hidden="1" outlineLevel="2" x14ac:dyDescent="0.25">
      <c r="A205" s="2" t="s">
        <v>410</v>
      </c>
      <c r="B205" s="1" t="s">
        <v>411</v>
      </c>
      <c r="C205" s="2" t="s">
        <v>158</v>
      </c>
      <c r="E205" s="2">
        <v>581410</v>
      </c>
    </row>
    <row r="206" spans="1:12" hidden="1" outlineLevel="2" x14ac:dyDescent="0.25">
      <c r="A206" s="2" t="s">
        <v>412</v>
      </c>
      <c r="B206" s="1" t="s">
        <v>413</v>
      </c>
      <c r="C206" s="2" t="s">
        <v>12</v>
      </c>
      <c r="E206" s="2">
        <v>344848</v>
      </c>
    </row>
    <row r="207" spans="1:12" hidden="1" outlineLevel="2" x14ac:dyDescent="0.25">
      <c r="A207" s="2" t="s">
        <v>414</v>
      </c>
      <c r="B207" s="1" t="s">
        <v>415</v>
      </c>
      <c r="C207" s="2" t="s">
        <v>193</v>
      </c>
      <c r="E207" s="2">
        <v>459657</v>
      </c>
    </row>
    <row r="208" spans="1:12" outlineLevel="1" x14ac:dyDescent="0.25">
      <c r="E208" s="16">
        <v>278295267</v>
      </c>
    </row>
    <row r="209" spans="5:5" x14ac:dyDescent="0.25">
      <c r="E209" s="16">
        <v>278295267</v>
      </c>
    </row>
  </sheetData>
  <autoFilter ref="E4:E209" xr:uid="{00000000-0001-0000-0000-000000000000}">
    <filterColumn colId="0">
      <customFilters>
        <customFilter operator="greaterThanOrEqual" val="964000"/>
      </customFilters>
    </filterColumn>
  </autoFilter>
  <mergeCells count="3">
    <mergeCell ref="A1:L1"/>
    <mergeCell ref="A2:L2"/>
    <mergeCell ref="A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92AC-D52B-4D5E-A155-2CE320A92045}">
  <dimension ref="A1:H33"/>
  <sheetViews>
    <sheetView tabSelected="1" workbookViewId="0">
      <selection activeCell="H7" sqref="H7"/>
    </sheetView>
  </sheetViews>
  <sheetFormatPr defaultRowHeight="15" x14ac:dyDescent="0.25"/>
  <cols>
    <col min="1" max="1" width="57.7109375" bestFit="1" customWidth="1"/>
    <col min="2" max="2" width="16.140625" bestFit="1" customWidth="1"/>
    <col min="3" max="3" width="37.7109375" bestFit="1" customWidth="1"/>
    <col min="4" max="4" width="29.28515625" bestFit="1" customWidth="1"/>
    <col min="5" max="5" width="14.28515625" bestFit="1" customWidth="1"/>
    <col min="8" max="8" width="10.5703125" bestFit="1" customWidth="1"/>
  </cols>
  <sheetData>
    <row r="1" spans="1:8" ht="15.75" x14ac:dyDescent="0.25">
      <c r="A1" s="18" t="s">
        <v>0</v>
      </c>
      <c r="B1" s="19" t="s">
        <v>1</v>
      </c>
      <c r="C1" s="18" t="s">
        <v>418</v>
      </c>
      <c r="D1" s="18" t="s">
        <v>2</v>
      </c>
      <c r="E1" s="18" t="s">
        <v>3</v>
      </c>
    </row>
    <row r="2" spans="1:8" ht="15.75" x14ac:dyDescent="0.25">
      <c r="A2" s="20" t="s">
        <v>495</v>
      </c>
      <c r="B2" s="21" t="s">
        <v>421</v>
      </c>
      <c r="C2" s="20" t="s">
        <v>420</v>
      </c>
      <c r="D2" s="22">
        <v>3244723412</v>
      </c>
      <c r="E2" s="23">
        <v>8381669</v>
      </c>
    </row>
    <row r="3" spans="1:8" ht="15.75" x14ac:dyDescent="0.25">
      <c r="A3" s="20" t="s">
        <v>491</v>
      </c>
      <c r="B3" s="22">
        <v>84090754</v>
      </c>
      <c r="C3" s="20" t="s">
        <v>417</v>
      </c>
      <c r="D3" s="22">
        <v>3007827171</v>
      </c>
      <c r="E3" s="23">
        <v>2803513</v>
      </c>
    </row>
    <row r="4" spans="1:8" ht="15.75" x14ac:dyDescent="0.25">
      <c r="A4" s="20" t="s">
        <v>496</v>
      </c>
      <c r="B4" s="22"/>
      <c r="C4" s="20" t="s">
        <v>419</v>
      </c>
      <c r="D4" s="22">
        <v>3126199273</v>
      </c>
      <c r="E4" s="23">
        <v>1172779</v>
      </c>
    </row>
    <row r="5" spans="1:8" ht="15.75" x14ac:dyDescent="0.25">
      <c r="A5" s="20" t="s">
        <v>24</v>
      </c>
      <c r="B5" s="21" t="s">
        <v>25</v>
      </c>
      <c r="C5" s="20" t="s">
        <v>425</v>
      </c>
      <c r="D5" s="22">
        <v>3157558109</v>
      </c>
      <c r="E5" s="23">
        <v>5506915</v>
      </c>
    </row>
    <row r="6" spans="1:8" ht="15.75" x14ac:dyDescent="0.25">
      <c r="A6" s="20" t="s">
        <v>497</v>
      </c>
      <c r="B6" s="21"/>
      <c r="C6" s="20" t="s">
        <v>426</v>
      </c>
      <c r="D6" s="22">
        <v>3006270434</v>
      </c>
      <c r="E6" s="23">
        <v>7189239</v>
      </c>
      <c r="F6" s="28">
        <v>0.1</v>
      </c>
      <c r="G6" s="29">
        <f>E6*F6</f>
        <v>718923.9</v>
      </c>
      <c r="H6" s="29">
        <f>E6+G6</f>
        <v>7908162.9000000004</v>
      </c>
    </row>
    <row r="7" spans="1:8" ht="15.75" x14ac:dyDescent="0.25">
      <c r="A7" s="20" t="s">
        <v>56</v>
      </c>
      <c r="B7" s="21"/>
      <c r="C7" s="20" t="s">
        <v>430</v>
      </c>
      <c r="D7" s="22">
        <v>3188658521</v>
      </c>
      <c r="E7" s="23">
        <v>1650369</v>
      </c>
    </row>
    <row r="8" spans="1:8" ht="15.75" x14ac:dyDescent="0.25">
      <c r="A8" s="20" t="s">
        <v>431</v>
      </c>
      <c r="B8" s="11">
        <v>32559656</v>
      </c>
      <c r="C8" s="20" t="s">
        <v>432</v>
      </c>
      <c r="D8" s="22">
        <v>3045376234</v>
      </c>
      <c r="E8" s="23">
        <v>1378958</v>
      </c>
    </row>
    <row r="9" spans="1:8" ht="15.75" x14ac:dyDescent="0.25">
      <c r="A9" s="20" t="s">
        <v>66</v>
      </c>
      <c r="B9" s="21" t="s">
        <v>67</v>
      </c>
      <c r="C9" s="20" t="s">
        <v>435</v>
      </c>
      <c r="D9" s="22">
        <v>3016328282</v>
      </c>
      <c r="E9" s="23">
        <v>20757565</v>
      </c>
    </row>
    <row r="10" spans="1:8" ht="15.75" x14ac:dyDescent="0.25">
      <c r="A10" s="20" t="s">
        <v>70</v>
      </c>
      <c r="B10" s="21" t="s">
        <v>71</v>
      </c>
      <c r="C10" s="20" t="s">
        <v>437</v>
      </c>
      <c r="D10" s="22">
        <v>3006604200</v>
      </c>
      <c r="E10" s="23">
        <v>3772639</v>
      </c>
    </row>
    <row r="11" spans="1:8" ht="15.75" x14ac:dyDescent="0.25">
      <c r="A11" s="20" t="s">
        <v>76</v>
      </c>
      <c r="B11" s="21" t="s">
        <v>77</v>
      </c>
      <c r="C11" s="20" t="s">
        <v>439</v>
      </c>
      <c r="D11" s="22">
        <v>3024290686</v>
      </c>
      <c r="E11" s="23">
        <v>4544820</v>
      </c>
    </row>
    <row r="12" spans="1:8" ht="15.75" x14ac:dyDescent="0.25">
      <c r="A12" s="20" t="s">
        <v>441</v>
      </c>
      <c r="B12" s="17">
        <v>37947954</v>
      </c>
      <c r="C12" s="20" t="s">
        <v>440</v>
      </c>
      <c r="D12" s="22">
        <v>3157449899</v>
      </c>
      <c r="E12" s="23">
        <v>1218114</v>
      </c>
    </row>
    <row r="13" spans="1:8" ht="15.75" x14ac:dyDescent="0.25">
      <c r="A13" s="20" t="s">
        <v>444</v>
      </c>
      <c r="B13" s="11">
        <v>1143358676</v>
      </c>
      <c r="C13" s="20" t="s">
        <v>445</v>
      </c>
      <c r="D13" s="22">
        <v>3147840252</v>
      </c>
      <c r="E13" s="23">
        <v>1929219</v>
      </c>
    </row>
    <row r="14" spans="1:8" ht="15.75" x14ac:dyDescent="0.25">
      <c r="A14" s="20" t="s">
        <v>448</v>
      </c>
      <c r="B14" s="21"/>
      <c r="C14" s="20" t="s">
        <v>446</v>
      </c>
      <c r="D14" s="22">
        <v>3008256477</v>
      </c>
      <c r="E14" s="23">
        <v>1140541</v>
      </c>
    </row>
    <row r="15" spans="1:8" ht="15.75" x14ac:dyDescent="0.25">
      <c r="A15" s="20" t="s">
        <v>492</v>
      </c>
      <c r="B15" s="21"/>
      <c r="C15" s="20" t="s">
        <v>450</v>
      </c>
      <c r="D15" s="22">
        <v>3114040895</v>
      </c>
      <c r="E15" s="23">
        <v>7240059</v>
      </c>
    </row>
    <row r="16" spans="1:8" ht="15.75" x14ac:dyDescent="0.25">
      <c r="A16" s="20" t="s">
        <v>171</v>
      </c>
      <c r="B16" s="21"/>
      <c r="C16" s="20" t="s">
        <v>451</v>
      </c>
      <c r="D16" s="22">
        <v>3205434168</v>
      </c>
      <c r="E16" s="23">
        <v>31911979</v>
      </c>
    </row>
    <row r="17" spans="1:5" ht="15.75" x14ac:dyDescent="0.25">
      <c r="A17" s="20" t="s">
        <v>493</v>
      </c>
      <c r="B17" s="22">
        <v>1128047366</v>
      </c>
      <c r="C17" s="20" t="s">
        <v>453</v>
      </c>
      <c r="D17" s="22" t="s">
        <v>498</v>
      </c>
      <c r="E17" s="23">
        <v>1598791</v>
      </c>
    </row>
    <row r="18" spans="1:5" ht="15.75" x14ac:dyDescent="0.25">
      <c r="A18" s="20" t="s">
        <v>494</v>
      </c>
      <c r="B18" s="21"/>
      <c r="C18" s="20" t="s">
        <v>457</v>
      </c>
      <c r="D18" s="22">
        <v>3005106983</v>
      </c>
      <c r="E18" s="23">
        <v>1163344</v>
      </c>
    </row>
    <row r="19" spans="1:5" ht="15.75" x14ac:dyDescent="0.25">
      <c r="A19" s="20" t="s">
        <v>459</v>
      </c>
      <c r="B19" s="21"/>
      <c r="C19" s="20" t="s">
        <v>458</v>
      </c>
      <c r="D19" s="22"/>
      <c r="E19" s="23">
        <v>1568461</v>
      </c>
    </row>
    <row r="20" spans="1:5" ht="15.75" x14ac:dyDescent="0.25">
      <c r="A20" s="20" t="s">
        <v>222</v>
      </c>
      <c r="B20" s="21" t="s">
        <v>223</v>
      </c>
      <c r="C20" s="20" t="s">
        <v>460</v>
      </c>
      <c r="D20" s="22">
        <v>3004115250</v>
      </c>
      <c r="E20" s="23">
        <v>2809719</v>
      </c>
    </row>
    <row r="21" spans="1:5" ht="15.75" x14ac:dyDescent="0.25">
      <c r="A21" s="20" t="s">
        <v>231</v>
      </c>
      <c r="B21" s="21"/>
      <c r="C21" s="20" t="s">
        <v>463</v>
      </c>
      <c r="D21" s="22">
        <v>3155508103</v>
      </c>
      <c r="E21" s="23">
        <v>2806688</v>
      </c>
    </row>
    <row r="22" spans="1:5" ht="15.75" x14ac:dyDescent="0.25">
      <c r="A22" s="20" t="s">
        <v>232</v>
      </c>
      <c r="B22" s="21"/>
      <c r="C22" s="20" t="s">
        <v>465</v>
      </c>
      <c r="D22" s="22" t="s">
        <v>233</v>
      </c>
      <c r="E22" s="23">
        <v>6737962</v>
      </c>
    </row>
    <row r="23" spans="1:5" ht="15.75" x14ac:dyDescent="0.25">
      <c r="A23" s="20" t="s">
        <v>264</v>
      </c>
      <c r="B23" s="21"/>
      <c r="C23" s="20" t="s">
        <v>469</v>
      </c>
      <c r="D23" s="22">
        <v>3114072296</v>
      </c>
      <c r="E23" s="23">
        <v>8985739</v>
      </c>
    </row>
    <row r="24" spans="1:5" ht="15.75" x14ac:dyDescent="0.25">
      <c r="A24" s="20" t="s">
        <v>269</v>
      </c>
      <c r="B24" s="21" t="s">
        <v>270</v>
      </c>
      <c r="C24" s="20" t="s">
        <v>471</v>
      </c>
      <c r="D24" s="22">
        <v>3103505607</v>
      </c>
      <c r="E24" s="23">
        <v>1279537</v>
      </c>
    </row>
    <row r="25" spans="1:5" ht="15.75" x14ac:dyDescent="0.25">
      <c r="A25" s="20" t="s">
        <v>273</v>
      </c>
      <c r="B25" s="21" t="s">
        <v>472</v>
      </c>
      <c r="C25" s="20" t="s">
        <v>473</v>
      </c>
      <c r="D25" s="22" t="s">
        <v>474</v>
      </c>
      <c r="E25" s="23">
        <v>3062820</v>
      </c>
    </row>
    <row r="26" spans="1:5" ht="15.75" x14ac:dyDescent="0.25">
      <c r="A26" s="20" t="s">
        <v>280</v>
      </c>
      <c r="B26" s="21"/>
      <c r="C26" s="20" t="s">
        <v>281</v>
      </c>
      <c r="D26" s="22">
        <v>300789270</v>
      </c>
      <c r="E26" s="23">
        <v>2322894</v>
      </c>
    </row>
    <row r="27" spans="1:5" ht="15.75" x14ac:dyDescent="0.25">
      <c r="A27" s="20" t="s">
        <v>476</v>
      </c>
      <c r="B27" s="21"/>
      <c r="C27" s="20" t="s">
        <v>478</v>
      </c>
      <c r="D27" s="22">
        <v>3015786512</v>
      </c>
      <c r="E27" s="23">
        <v>1048291</v>
      </c>
    </row>
    <row r="28" spans="1:5" ht="15.75" x14ac:dyDescent="0.25">
      <c r="A28" s="20" t="s">
        <v>357</v>
      </c>
      <c r="B28" s="21"/>
      <c r="C28" s="20" t="s">
        <v>479</v>
      </c>
      <c r="D28" s="22" t="s">
        <v>358</v>
      </c>
      <c r="E28" s="23">
        <v>2155834</v>
      </c>
    </row>
    <row r="29" spans="1:5" ht="15.75" x14ac:dyDescent="0.25">
      <c r="A29" s="20" t="s">
        <v>366</v>
      </c>
      <c r="B29" s="21" t="s">
        <v>367</v>
      </c>
      <c r="C29" s="20" t="s">
        <v>482</v>
      </c>
      <c r="D29" s="22">
        <v>3185719905</v>
      </c>
      <c r="E29" s="23">
        <v>985962</v>
      </c>
    </row>
    <row r="30" spans="1:5" ht="15.75" x14ac:dyDescent="0.25">
      <c r="A30" s="20" t="s">
        <v>373</v>
      </c>
      <c r="B30" s="21"/>
      <c r="C30" s="20" t="s">
        <v>484</v>
      </c>
      <c r="D30" s="22">
        <v>3116967240</v>
      </c>
      <c r="E30" s="23">
        <v>11552264</v>
      </c>
    </row>
    <row r="31" spans="1:5" ht="15.75" x14ac:dyDescent="0.25">
      <c r="A31" s="20" t="s">
        <v>380</v>
      </c>
      <c r="B31" s="21">
        <v>1047408360</v>
      </c>
      <c r="C31" s="20" t="s">
        <v>487</v>
      </c>
      <c r="D31" s="22">
        <v>3245458577</v>
      </c>
      <c r="E31" s="23">
        <v>15043259</v>
      </c>
    </row>
    <row r="32" spans="1:5" ht="15.75" x14ac:dyDescent="0.25">
      <c r="A32" s="20" t="s">
        <v>405</v>
      </c>
      <c r="B32" s="21"/>
      <c r="C32" s="20" t="s">
        <v>488</v>
      </c>
      <c r="D32" s="22">
        <v>3014225705</v>
      </c>
      <c r="E32" s="23">
        <v>1316065</v>
      </c>
    </row>
    <row r="33" spans="1:5" ht="15.75" x14ac:dyDescent="0.25">
      <c r="A33" s="24"/>
      <c r="B33" s="24"/>
      <c r="C33" s="24"/>
      <c r="D33" s="24"/>
      <c r="E33" s="25">
        <f>SUM(E2:E32)</f>
        <v>165036008</v>
      </c>
    </row>
  </sheetData>
  <autoFilter ref="C1:C33" xr:uid="{12F492AC-D52B-4D5E-A155-2CE320A9204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a6354e-6d04-4730-95c3-6ecb9619f301}" enabled="1" method="Privileged" siteId="{ef8a53ea-1a1c-4189-b792-c832dcaea5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ExportarAExcel</vt:lpstr>
      <vt:lpstr>Propietarios</vt:lpstr>
      <vt:lpstr>ExportarAExcel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Acosta Pacheco</cp:lastModifiedBy>
  <dcterms:created xsi:type="dcterms:W3CDTF">2026-09-21T18:33:21Z</dcterms:created>
  <dcterms:modified xsi:type="dcterms:W3CDTF">2026-09-22T01:48:38Z</dcterms:modified>
</cp:coreProperties>
</file>